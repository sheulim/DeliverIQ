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Project Charter" sheetId="2" state="visible" r:id="rId4"/>
    <sheet name="02 Delivery Plan" sheetId="3" state="visible" r:id="rId5"/>
    <sheet name="03 90Day Mobilisation Plan" sheetId="4" state="visible" r:id="rId6"/>
    <sheet name="04 Hybrid Project Plan" sheetId="5" state="visible" r:id="rId7"/>
    <sheet name="05 Milestone Schedule (Gantt)" sheetId="6" state="visible" r:id="rId8"/>
    <sheet name="06 Resource Plan" sheetId="7" state="visible" r:id="rId9"/>
    <sheet name="07 Assumptions &amp; Constrain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<sst xmlns="http://schemas.openxmlformats.org/spreadsheetml/2006/main" count="248" uniqueCount="183">
  <si>
    <t xml:space="preserve">Planning Toolkit</t>
  </si>
  <si>
    <t xml:space="preserve">Planning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</si>
  <si>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</si>
  <si>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</si>
  <si>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</si>
  <si>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</si>
  <si>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Project Charter</t>
  </si>
  <si>
    <t xml:space="preserve">Starter</t>
  </si>
  <si>
    <t xml:space="preserve">Foundational one-page mandate: purpose, scope, governance.</t>
  </si>
  <si>
    <t xml:space="preserve">02 Delivery Plan</t>
  </si>
  <si>
    <t xml:space="preserve">Professional / AI-ready</t>
  </si>
  <si>
    <t xml:space="preserve">Workstream-level milestones, owners and dates.</t>
  </si>
  <si>
    <t xml:space="preserve">03 90Day Mobilisation Plan</t>
  </si>
  <si>
    <t xml:space="preserve">Leadership</t>
  </si>
  <si>
    <t xml:space="preserve">First-90-days plan for standing up a new project or team.</t>
  </si>
  <si>
    <t xml:space="preserve">04 Hybrid Project Plan</t>
  </si>
  <si>
    <t xml:space="preserve">Hybrid</t>
  </si>
  <si>
    <t xml:space="preserve">Blends waterfall phases with agile epics/sprints.</t>
  </si>
  <si>
    <t xml:space="preserve">05 Milestone Schedule (Gantt-style)</t>
  </si>
  <si>
    <t xml:space="preserve">Deep-dive</t>
  </si>
  <si>
    <t xml:space="preserve">Sequenced milestones with dependencies and duration.</t>
  </si>
  <si>
    <t xml:space="preserve">06 Resource Plan</t>
  </si>
  <si>
    <t xml:space="preserve">Role-level allocation, FTE %, and start/end dates.</t>
  </si>
  <si>
    <t xml:space="preserve">07 Assumptions &amp; Constraints</t>
  </si>
  <si>
    <t xml:space="preserve">Reference</t>
  </si>
  <si>
    <t xml:space="preserve">Dedicated, fuller version of the Charter's assumptions section.</t>
  </si>
  <si>
    <t xml:space="preserve">Project Charter</t>
  </si>
  <si>
    <t xml:space="preserve">Planning | DeliverIQ Open PM Toolkit</t>
  </si>
  <si>
    <t xml:space="preserve">Section</t>
  </si>
  <si>
    <t xml:space="preserve">Detail</t>
  </si>
  <si>
    <t xml:space="preserve">Migrate core platform to reduce operating cost and improve reliability.</t>
  </si>
  <si>
    <t xml:space="preserve">Business Outcome</t>
  </si>
  <si>
    <t xml:space="preserve">20% reduction in incident volume; 15-minute faster reporting cycle.</t>
  </si>
  <si>
    <t xml:space="preserve">Objectives</t>
  </si>
  <si>
    <t xml:space="preserve">1) Migrate data with zero critical defects. 2) Decommission legacy platform by Q1.</t>
  </si>
  <si>
    <t xml:space="preserve">In Scope</t>
  </si>
  <si>
    <t xml:space="preserve">Core data migration, user access, reporting layer.</t>
  </si>
  <si>
    <t xml:space="preserve">Out of Scope</t>
  </si>
  <si>
    <t xml:space="preserve">New feature development; third-party integrations beyond current state.</t>
  </si>
  <si>
    <t xml:space="preserve">Success Measures</t>
  </si>
  <si>
    <t xml:space="preserve">Zero P1 defects at go-live; reconciliation variance &lt; 0.1%.</t>
  </si>
  <si>
    <t xml:space="preserve">Key Milestones</t>
  </si>
  <si>
    <t xml:space="preserve">Design freeze - UAT entry - Go-live - Hypercare exit.</t>
  </si>
  <si>
    <t xml:space="preserve">Governance</t>
  </si>
  <si>
    <t xml:space="preserve">Weekly working group; fortnightly SteerCo; monthly Programme Board.</t>
  </si>
  <si>
    <t xml:space="preserve">Assumptions</t>
  </si>
  <si>
    <t xml:space="preserve">Test environments available from Sprint 3; vendor SLA holds.</t>
  </si>
  <si>
    <t xml:space="preserve">Constraints</t>
  </si>
  <si>
    <t xml:space="preserve">Fixed regulatory go-live date; capped migration budget.</t>
  </si>
  <si>
    <t xml:space="preserve">Delivery Plan</t>
  </si>
  <si>
    <t xml:space="preserve">Workstream</t>
  </si>
  <si>
    <t xml:space="preserve">Milestone / Deliverable</t>
  </si>
  <si>
    <t xml:space="preserve">Owner</t>
  </si>
  <si>
    <t xml:space="preserve">Start Date</t>
  </si>
  <si>
    <t xml:space="preserve">Finish Date</t>
  </si>
  <si>
    <t xml:space="preserve">Dependency</t>
  </si>
  <si>
    <t xml:space="preserve">Status</t>
  </si>
  <si>
    <t xml:space="preserve">RAG</t>
  </si>
  <si>
    <t xml:space="preserve">Data</t>
  </si>
  <si>
    <t xml:space="preserve">UAT Exit</t>
  </si>
  <si>
    <t xml:space="preserve">Data Lead</t>
  </si>
  <si>
    <t xml:space="preserve">2026-09-01</t>
  </si>
  <si>
    <t xml:space="preserve">2026-09-22</t>
  </si>
  <si>
    <t xml:space="preserve">Finance feed certification</t>
  </si>
  <si>
    <t xml:space="preserve">Not Started</t>
  </si>
  <si>
    <t xml:space="preserve">Amber</t>
  </si>
  <si>
    <t xml:space="preserve">Platform</t>
  </si>
  <si>
    <t xml:space="preserve">Environment Build</t>
  </si>
  <si>
    <t xml:space="preserve">Infra Lead</t>
  </si>
  <si>
    <t xml:space="preserve">2026-08-15</t>
  </si>
  <si>
    <t xml:space="preserve">2026-09-05</t>
  </si>
  <si>
    <t xml:space="preserve">-</t>
  </si>
  <si>
    <t xml:space="preserve">Complete</t>
  </si>
  <si>
    <t xml:space="preserve">Green</t>
  </si>
  <si>
    <t xml:space="preserve">Testing</t>
  </si>
  <si>
    <t xml:space="preserve">UAT Cycle 1</t>
  </si>
  <si>
    <t xml:space="preserve">QA Lead</t>
  </si>
  <si>
    <t xml:space="preserve">2026-09-08</t>
  </si>
  <si>
    <t xml:space="preserve">2026-09-19</t>
  </si>
  <si>
    <t xml:space="preserve">In Progress</t>
  </si>
  <si>
    <t xml:space="preserve">Cutover</t>
  </si>
  <si>
    <t xml:space="preserve">Go-Live</t>
  </si>
  <si>
    <t xml:space="preserve">Release Lead</t>
  </si>
  <si>
    <t xml:space="preserve">2026-10-01</t>
  </si>
  <si>
    <t xml:space="preserve">2026-10-02</t>
  </si>
  <si>
    <t xml:space="preserve">UAT Exit; Go/No-Go approval</t>
  </si>
  <si>
    <t xml:space="preserve">90-Day Mobilisation Plan</t>
  </si>
  <si>
    <t xml:space="preserve">Period</t>
  </si>
  <si>
    <t xml:space="preserve">Objective</t>
  </si>
  <si>
    <t xml:space="preserve">Deliverables</t>
  </si>
  <si>
    <t xml:space="preserve">Stakeholders</t>
  </si>
  <si>
    <t xml:space="preserve">Risks</t>
  </si>
  <si>
    <t xml:space="preserve">Measures</t>
  </si>
  <si>
    <t xml:space="preserve">Days 1-30</t>
  </si>
  <si>
    <t xml:space="preserve">Mobilise</t>
  </si>
  <si>
    <t xml:space="preserve">Team onboarded; charter approved; governance cadence live</t>
  </si>
  <si>
    <t xml:space="preserve">Sponsor; PMO</t>
  </si>
  <si>
    <t xml:space="preserve">Resourcing delay</t>
  </si>
  <si>
    <t xml:space="preserve">100% roles filled</t>
  </si>
  <si>
    <t xml:space="preserve">Days 31-60</t>
  </si>
  <si>
    <t xml:space="preserve">Plan &amp; Design</t>
  </si>
  <si>
    <t xml:space="preserve">Delivery plan baselined; architecture approved</t>
  </si>
  <si>
    <t xml:space="preserve">Architecture; Business</t>
  </si>
  <si>
    <t xml:space="preserve">Scope creep</t>
  </si>
  <si>
    <t xml:space="preserve">Plan sign-off achieved</t>
  </si>
  <si>
    <t xml:space="preserve">Days 61-90</t>
  </si>
  <si>
    <t xml:space="preserve">Build &amp; Validate</t>
  </si>
  <si>
    <t xml:space="preserve">Environment ready; first UAT cycle complete</t>
  </si>
  <si>
    <t xml:space="preserve">QA; Vendor</t>
  </si>
  <si>
    <t xml:space="preserve">Environment slippage</t>
  </si>
  <si>
    <t xml:space="preserve">UAT entry criteria met</t>
  </si>
  <si>
    <t xml:space="preserve">Hybrid Project Plan</t>
  </si>
  <si>
    <t xml:space="preserve">Phase</t>
  </si>
  <si>
    <t xml:space="preserve">Epic / Work Package</t>
  </si>
  <si>
    <t xml:space="preserve">Milestone</t>
  </si>
  <si>
    <t xml:space="preserve">Sprint / Date</t>
  </si>
  <si>
    <t xml:space="preserve">Acceptance Criteria</t>
  </si>
  <si>
    <t xml:space="preserve">Discovery</t>
  </si>
  <si>
    <t xml:space="preserve">Requirements</t>
  </si>
  <si>
    <t xml:space="preserve">Scope baseline</t>
  </si>
  <si>
    <t xml:space="preserve">Sprint 0</t>
  </si>
  <si>
    <t xml:space="preserve">PM</t>
  </si>
  <si>
    <t xml:space="preserve">Sponsor approval</t>
  </si>
  <si>
    <t xml:space="preserve">Build</t>
  </si>
  <si>
    <t xml:space="preserve">Core Migration Engine</t>
  </si>
  <si>
    <t xml:space="preserve">Feature complete</t>
  </si>
  <si>
    <t xml:space="preserve">Sprint 1-4</t>
  </si>
  <si>
    <t xml:space="preserve">Tech Lead</t>
  </si>
  <si>
    <t xml:space="preserve">All unit tests pass</t>
  </si>
  <si>
    <t xml:space="preserve">Stabilise</t>
  </si>
  <si>
    <t xml:space="preserve">UAT &amp; Defect Fix</t>
  </si>
  <si>
    <t xml:space="preserve">UAT exit</t>
  </si>
  <si>
    <t xml:space="preserve">Sprint 5-6</t>
  </si>
  <si>
    <t xml:space="preserve">Zero P1/P2 defects open</t>
  </si>
  <si>
    <t xml:space="preserve">Milestone Schedule (Gantt-style)</t>
  </si>
  <si>
    <t xml:space="preserve">Predecessor</t>
  </si>
  <si>
    <t xml:space="preserve">Planned Start</t>
  </si>
  <si>
    <t xml:space="preserve">Planned End</t>
  </si>
  <si>
    <t xml:space="preserve">Duration (Days)</t>
  </si>
  <si>
    <t xml:space="preserve">Design Freeze</t>
  </si>
  <si>
    <t xml:space="preserve">2026-08-25</t>
  </si>
  <si>
    <t xml:space="preserve">2026-08-29</t>
  </si>
  <si>
    <t xml:space="preserve">Architect</t>
  </si>
  <si>
    <t xml:space="preserve">Environment Ready</t>
  </si>
  <si>
    <t xml:space="preserve">UAT Entry</t>
  </si>
  <si>
    <t xml:space="preserve">UAT Exit; Go/No-Go</t>
  </si>
  <si>
    <t xml:space="preserve">Resource Plan</t>
  </si>
  <si>
    <t xml:space="preserve">Role</t>
  </si>
  <si>
    <t xml:space="preserve">Named Resource</t>
  </si>
  <si>
    <t xml:space="preserve">Allocation %</t>
  </si>
  <si>
    <t xml:space="preserve">End Date</t>
  </si>
  <si>
    <t xml:space="preserve">Notes</t>
  </si>
  <si>
    <t xml:space="preserve">Project Manager</t>
  </si>
  <si>
    <t xml:space="preserve">TBC</t>
  </si>
  <si>
    <t xml:space="preserve">All</t>
  </si>
  <si>
    <t xml:space="preserve">2026-08-01</t>
  </si>
  <si>
    <t xml:space="preserve">2026-10-31</t>
  </si>
  <si>
    <t xml:space="preserve">Full-time for duration</t>
  </si>
  <si>
    <t xml:space="preserve">2026-10-15</t>
  </si>
  <si>
    <t xml:space="preserve">Ramps down post-hypercare</t>
  </si>
  <si>
    <t xml:space="preserve">80% - shared with BAU</t>
  </si>
  <si>
    <t xml:space="preserve">Assumptions &amp; Constraints Log</t>
  </si>
  <si>
    <t xml:space="preserve">Planning | Reference - fuller version of the Charter's assumptions section</t>
  </si>
  <si>
    <t xml:space="preserve">Type</t>
  </si>
  <si>
    <t xml:space="preserve">Statement</t>
  </si>
  <si>
    <t xml:space="preserve">Confidence</t>
  </si>
  <si>
    <t xml:space="preserve">Validation Plan</t>
  </si>
  <si>
    <t xml:space="preserve">Impact if Wrong</t>
  </si>
  <si>
    <t xml:space="preserve">Assumption</t>
  </si>
  <si>
    <t xml:space="preserve">Test environments available from Sprint 3</t>
  </si>
  <si>
    <t xml:space="preserve">Medium</t>
  </si>
  <si>
    <t xml:space="preserve">Confirm environment booking by Sprint 1</t>
  </si>
  <si>
    <t xml:space="preserve">UAT delayed by 1-2 sprints</t>
  </si>
  <si>
    <t xml:space="preserve">Constraint</t>
  </si>
  <si>
    <t xml:space="preserve">Fixed regulatory go-live date</t>
  </si>
  <si>
    <t xml:space="preserve">Sponsor</t>
  </si>
  <si>
    <t xml:space="preserve">High</t>
  </si>
  <si>
    <t xml:space="preserve">N/A - external mandate</t>
  </si>
  <si>
    <t xml:space="preserve">Non-negotiable; drives all sequencing</t>
  </si>
  <si>
    <t xml:space="preserve">Vendor SLA holds through migration window</t>
  </si>
  <si>
    <t xml:space="preserve">Delivery Lead</t>
  </si>
  <si>
    <t xml:space="preserve">Reconfirm SLA in vendor check-in</t>
  </si>
  <si>
    <t xml:space="preserve">Cutover window at risk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</si>
</sst>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19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26</v>
      </c>
      <c r="B1" s="1"/>
    </row>
    <row r="2" customFormat="false" ht="15" hidden="false" customHeight="false" outlineLevel="0" collapsed="false">
      <c r="A2" s="2" t="s">
        <v>27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4" t="s">
        <v>28</v>
      </c>
      <c r="B5" s="4" t="s">
        <v>29</v>
      </c>
    </row>
    <row r="6" customFormat="false" ht="15" hidden="false" customHeight="false" outlineLevel="0" collapsed="false">
      <c r="A6" s="5" t="s">
        <v>5</v>
      </c>
      <c r="B6" s="6" t="s">
        <v>30</v>
      </c>
    </row>
    <row r="7" customFormat="false" ht="15" hidden="false" customHeight="false" outlineLevel="0" collapsed="false">
      <c r="A7" s="5" t="s">
        <v>31</v>
      </c>
      <c r="B7" s="6" t="s">
        <v>32</v>
      </c>
    </row>
    <row r="8" customFormat="false" ht="15" hidden="false" customHeight="false" outlineLevel="0" collapsed="false">
      <c r="A8" s="5" t="s">
        <v>33</v>
      </c>
      <c r="B8" s="6" t="s">
        <v>34</v>
      </c>
    </row>
    <row r="9" customFormat="false" ht="15" hidden="false" customHeight="false" outlineLevel="0" collapsed="false">
      <c r="A9" s="5" t="s">
        <v>35</v>
      </c>
      <c r="B9" s="6" t="s">
        <v>36</v>
      </c>
    </row>
    <row r="10" customFormat="false" ht="15" hidden="false" customHeight="false" outlineLevel="0" collapsed="false">
      <c r="A10" s="5" t="s">
        <v>37</v>
      </c>
      <c r="B10" s="6" t="s">
        <v>38</v>
      </c>
    </row>
    <row r="11" customFormat="false" ht="15" hidden="false" customHeight="false" outlineLevel="0" collapsed="false">
      <c r="A11" s="5" t="s">
        <v>39</v>
      </c>
      <c r="B11" s="6" t="s">
        <v>40</v>
      </c>
    </row>
    <row r="12" customFormat="false" ht="15" hidden="false" customHeight="false" outlineLevel="0" collapsed="false">
      <c r="A12" s="5" t="s">
        <v>41</v>
      </c>
      <c r="B12" s="6" t="s">
        <v>42</v>
      </c>
    </row>
    <row r="13" customFormat="false" ht="15" hidden="false" customHeight="false" outlineLevel="0" collapsed="false">
      <c r="A13" s="5" t="s">
        <v>43</v>
      </c>
      <c r="B13" s="6" t="s">
        <v>44</v>
      </c>
    </row>
    <row r="14" customFormat="false" ht="15" hidden="false" customHeight="false" outlineLevel="0" collapsed="false">
      <c r="A14" s="5" t="s">
        <v>45</v>
      </c>
      <c r="B14" s="6" t="s">
        <v>46</v>
      </c>
    </row>
    <row r="15" customFormat="false" ht="15" hidden="false" customHeight="false" outlineLevel="0" collapsed="false">
      <c r="A15" s="5" t="s">
        <v>47</v>
      </c>
      <c r="B15" s="6" t="s">
        <v>48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</row>
    <row r="6" customFormat="false" ht="15" hidden="false" customHeight="false" outlineLevel="0" collapsed="false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6" t="s">
        <v>63</v>
      </c>
      <c r="G6" s="5" t="s">
        <v>64</v>
      </c>
      <c r="H6" s="5" t="s">
        <v>65</v>
      </c>
    </row>
    <row r="7" customFormat="false" ht="15" hidden="false" customHeight="false" outlineLevel="0" collapsed="false">
      <c r="A7" s="5" t="s">
        <v>66</v>
      </c>
      <c r="B7" s="5" t="s">
        <v>67</v>
      </c>
      <c r="C7" s="5" t="s">
        <v>68</v>
      </c>
      <c r="D7" s="5" t="s">
        <v>69</v>
      </c>
      <c r="E7" s="5" t="s">
        <v>70</v>
      </c>
      <c r="F7" s="6" t="s">
        <v>71</v>
      </c>
      <c r="G7" s="5" t="s">
        <v>72</v>
      </c>
      <c r="H7" s="5" t="s">
        <v>73</v>
      </c>
    </row>
    <row r="8" customFormat="false" ht="15" hidden="false" customHeight="false" outlineLevel="0" collapsed="false">
      <c r="A8" s="5" t="s">
        <v>74</v>
      </c>
      <c r="B8" s="5" t="s">
        <v>75</v>
      </c>
      <c r="C8" s="5" t="s">
        <v>76</v>
      </c>
      <c r="D8" s="5" t="s">
        <v>77</v>
      </c>
      <c r="E8" s="5" t="s">
        <v>78</v>
      </c>
      <c r="F8" s="6" t="s">
        <v>67</v>
      </c>
      <c r="G8" s="5" t="s">
        <v>79</v>
      </c>
      <c r="H8" s="5" t="s">
        <v>65</v>
      </c>
    </row>
    <row r="9" customFormat="false" ht="15" hidden="false" customHeight="false" outlineLevel="0" collapsed="false">
      <c r="A9" s="5" t="s">
        <v>80</v>
      </c>
      <c r="B9" s="5" t="s">
        <v>81</v>
      </c>
      <c r="C9" s="5" t="s">
        <v>82</v>
      </c>
      <c r="D9" s="5" t="s">
        <v>83</v>
      </c>
      <c r="E9" s="5" t="s">
        <v>84</v>
      </c>
      <c r="F9" s="6" t="s">
        <v>85</v>
      </c>
      <c r="G9" s="5" t="s">
        <v>64</v>
      </c>
      <c r="H9" s="5" t="s">
        <v>73</v>
      </c>
    </row>
  </sheetData>
  <mergeCells count="3">
    <mergeCell ref="A1:H1"/>
    <mergeCell ref="A2:H2"/>
    <mergeCell ref="A3:H3"/>
  </mergeCells>
  <dataValidations count="2">
    <dataValidation allowBlank="true" errorStyle="stop" operator="between" showDropDown="false" showErrorMessage="false" showInputMessage="false" sqref="G6:G205" type="list">
      <formula1>"Not Started,In Progress,At Risk,Complete"</formula1>
      <formula2>0</formula2>
    </dataValidation>
    <dataValidation allowBlank="true" errorStyle="stop" operator="between" showDropDown="false" showErrorMessage="false" showInputMessage="false" sqref="H6:H205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87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92</v>
      </c>
    </row>
    <row r="6" customFormat="false" ht="28.35" hidden="false" customHeight="false" outlineLevel="0" collapsed="false">
      <c r="A6" s="5" t="s">
        <v>93</v>
      </c>
      <c r="B6" s="5" t="s">
        <v>94</v>
      </c>
      <c r="C6" s="6" t="s">
        <v>95</v>
      </c>
      <c r="D6" s="5" t="s">
        <v>96</v>
      </c>
      <c r="E6" s="5" t="s">
        <v>97</v>
      </c>
      <c r="F6" s="5" t="s">
        <v>98</v>
      </c>
    </row>
    <row r="7" customFormat="false" ht="28.35" hidden="false" customHeight="false" outlineLevel="0" collapsed="false">
      <c r="A7" s="5" t="s">
        <v>99</v>
      </c>
      <c r="B7" s="5" t="s">
        <v>100</v>
      </c>
      <c r="C7" s="6" t="s">
        <v>101</v>
      </c>
      <c r="D7" s="5" t="s">
        <v>102</v>
      </c>
      <c r="E7" s="5" t="s">
        <v>103</v>
      </c>
      <c r="F7" s="5" t="s">
        <v>104</v>
      </c>
    </row>
    <row r="8" customFormat="false" ht="28.35" hidden="false" customHeight="false" outlineLevel="0" collapsed="false">
      <c r="A8" s="5" t="s">
        <v>105</v>
      </c>
      <c r="B8" s="5" t="s">
        <v>106</v>
      </c>
      <c r="C8" s="6" t="s">
        <v>107</v>
      </c>
      <c r="D8" s="5" t="s">
        <v>108</v>
      </c>
      <c r="E8" s="5" t="s">
        <v>109</v>
      </c>
      <c r="F8" s="5" t="s">
        <v>110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112</v>
      </c>
      <c r="B5" s="4" t="s">
        <v>113</v>
      </c>
      <c r="C5" s="4" t="s">
        <v>114</v>
      </c>
      <c r="D5" s="4" t="s">
        <v>115</v>
      </c>
      <c r="E5" s="4" t="s">
        <v>52</v>
      </c>
      <c r="F5" s="4" t="s">
        <v>116</v>
      </c>
      <c r="G5" s="4" t="s">
        <v>56</v>
      </c>
    </row>
    <row r="6" customFormat="false" ht="15" hidden="false" customHeight="false" outlineLevel="0" collapsed="false">
      <c r="A6" s="5" t="s">
        <v>117</v>
      </c>
      <c r="B6" s="5" t="s">
        <v>118</v>
      </c>
      <c r="C6" s="5" t="s">
        <v>119</v>
      </c>
      <c r="D6" s="5" t="s">
        <v>120</v>
      </c>
      <c r="E6" s="5" t="s">
        <v>121</v>
      </c>
      <c r="F6" s="6" t="s">
        <v>122</v>
      </c>
      <c r="G6" s="5" t="s">
        <v>64</v>
      </c>
    </row>
    <row r="7" customFormat="false" ht="15" hidden="false" customHeight="false" outlineLevel="0" collapsed="false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6" t="s">
        <v>128</v>
      </c>
      <c r="G7" s="5" t="s">
        <v>79</v>
      </c>
    </row>
    <row r="8" customFormat="false" ht="15" hidden="false" customHeight="false" outlineLevel="0" collapsed="false">
      <c r="A8" s="5" t="s">
        <v>129</v>
      </c>
      <c r="B8" s="5" t="s">
        <v>130</v>
      </c>
      <c r="C8" s="5" t="s">
        <v>131</v>
      </c>
      <c r="D8" s="5" t="s">
        <v>132</v>
      </c>
      <c r="E8" s="5" t="s">
        <v>76</v>
      </c>
      <c r="F8" s="6" t="s">
        <v>133</v>
      </c>
      <c r="G8" s="5" t="s">
        <v>64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G6:G205" type="list">
      <formula1>"Not Started,In Progress,At Risk,Complete"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28.35" hidden="false" customHeight="false" outlineLevel="0" collapsed="false">
      <c r="A5" s="4" t="s">
        <v>114</v>
      </c>
      <c r="B5" s="4" t="s">
        <v>135</v>
      </c>
      <c r="C5" s="4" t="s">
        <v>136</v>
      </c>
      <c r="D5" s="4" t="s">
        <v>137</v>
      </c>
      <c r="E5" s="4" t="s">
        <v>138</v>
      </c>
      <c r="F5" s="4" t="s">
        <v>52</v>
      </c>
      <c r="G5" s="4" t="s">
        <v>56</v>
      </c>
    </row>
    <row r="6" customFormat="false" ht="15" hidden="false" customHeight="false" outlineLevel="0" collapsed="false">
      <c r="A6" s="5" t="s">
        <v>139</v>
      </c>
      <c r="B6" s="5" t="s">
        <v>71</v>
      </c>
      <c r="C6" s="5" t="s">
        <v>140</v>
      </c>
      <c r="D6" s="5" t="s">
        <v>141</v>
      </c>
      <c r="E6" s="7" t="n">
        <f aca="false">D6-C6</f>
        <v>4</v>
      </c>
      <c r="F6" s="5" t="s">
        <v>142</v>
      </c>
      <c r="G6" s="5" t="s">
        <v>72</v>
      </c>
    </row>
    <row r="7" customFormat="false" ht="15" hidden="false" customHeight="false" outlineLevel="0" collapsed="false">
      <c r="A7" s="5" t="s">
        <v>143</v>
      </c>
      <c r="B7" s="5" t="s">
        <v>139</v>
      </c>
      <c r="C7" s="5" t="s">
        <v>61</v>
      </c>
      <c r="D7" s="5" t="s">
        <v>70</v>
      </c>
      <c r="E7" s="7" t="n">
        <f aca="false">D7-C7</f>
        <v>4</v>
      </c>
      <c r="F7" s="5" t="s">
        <v>68</v>
      </c>
      <c r="G7" s="5" t="s">
        <v>72</v>
      </c>
    </row>
    <row r="8" customFormat="false" ht="15" hidden="false" customHeight="false" outlineLevel="0" collapsed="false">
      <c r="A8" s="5" t="s">
        <v>144</v>
      </c>
      <c r="B8" s="5" t="s">
        <v>143</v>
      </c>
      <c r="C8" s="5" t="s">
        <v>77</v>
      </c>
      <c r="D8" s="5" t="s">
        <v>77</v>
      </c>
      <c r="E8" s="7" t="n">
        <f aca="false">D8-C8</f>
        <v>0</v>
      </c>
      <c r="F8" s="5" t="s">
        <v>76</v>
      </c>
      <c r="G8" s="5" t="s">
        <v>79</v>
      </c>
    </row>
    <row r="9" customFormat="false" ht="15" hidden="false" customHeight="false" outlineLevel="0" collapsed="false">
      <c r="A9" s="5" t="s">
        <v>59</v>
      </c>
      <c r="B9" s="5" t="s">
        <v>144</v>
      </c>
      <c r="C9" s="5" t="s">
        <v>77</v>
      </c>
      <c r="D9" s="5" t="s">
        <v>62</v>
      </c>
      <c r="E9" s="7" t="n">
        <f aca="false">D9-C9</f>
        <v>14</v>
      </c>
      <c r="F9" s="5" t="s">
        <v>76</v>
      </c>
      <c r="G9" s="5" t="s">
        <v>64</v>
      </c>
    </row>
    <row r="10" customFormat="false" ht="15" hidden="false" customHeight="false" outlineLevel="0" collapsed="false">
      <c r="A10" s="5" t="s">
        <v>81</v>
      </c>
      <c r="B10" s="5" t="s">
        <v>145</v>
      </c>
      <c r="C10" s="5" t="s">
        <v>83</v>
      </c>
      <c r="D10" s="5" t="s">
        <v>84</v>
      </c>
      <c r="E10" s="7" t="n">
        <f aca="false">D10-C10</f>
        <v>1</v>
      </c>
      <c r="F10" s="5" t="s">
        <v>82</v>
      </c>
      <c r="G10" s="5" t="s">
        <v>64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G6:G205" type="list">
      <formula1>"Not Started,In Progress,At Risk,Complete"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147</v>
      </c>
      <c r="B5" s="4" t="s">
        <v>148</v>
      </c>
      <c r="C5" s="4" t="s">
        <v>50</v>
      </c>
      <c r="D5" s="4" t="s">
        <v>149</v>
      </c>
      <c r="E5" s="4" t="s">
        <v>53</v>
      </c>
      <c r="F5" s="4" t="s">
        <v>150</v>
      </c>
      <c r="G5" s="4" t="s">
        <v>151</v>
      </c>
    </row>
    <row r="6" customFormat="false" ht="15" hidden="false" customHeight="false" outlineLevel="0" collapsed="false">
      <c r="A6" s="5" t="s">
        <v>152</v>
      </c>
      <c r="B6" s="5" t="s">
        <v>153</v>
      </c>
      <c r="C6" s="5" t="s">
        <v>154</v>
      </c>
      <c r="D6" s="8" t="n">
        <v>1</v>
      </c>
      <c r="E6" s="5" t="s">
        <v>155</v>
      </c>
      <c r="F6" s="5" t="s">
        <v>156</v>
      </c>
      <c r="G6" s="6" t="s">
        <v>157</v>
      </c>
    </row>
    <row r="7" customFormat="false" ht="15" hidden="false" customHeight="false" outlineLevel="0" collapsed="false">
      <c r="A7" s="5" t="s">
        <v>60</v>
      </c>
      <c r="B7" s="5" t="s">
        <v>153</v>
      </c>
      <c r="C7" s="5" t="s">
        <v>58</v>
      </c>
      <c r="D7" s="8" t="n">
        <v>1</v>
      </c>
      <c r="E7" s="5" t="s">
        <v>155</v>
      </c>
      <c r="F7" s="5" t="s">
        <v>158</v>
      </c>
      <c r="G7" s="6" t="s">
        <v>159</v>
      </c>
    </row>
    <row r="8" customFormat="false" ht="15" hidden="false" customHeight="false" outlineLevel="0" collapsed="false">
      <c r="A8" s="5" t="s">
        <v>76</v>
      </c>
      <c r="B8" s="5" t="s">
        <v>153</v>
      </c>
      <c r="C8" s="5" t="s">
        <v>74</v>
      </c>
      <c r="D8" s="8" t="n">
        <v>0.8</v>
      </c>
      <c r="E8" s="5" t="s">
        <v>69</v>
      </c>
      <c r="F8" s="5" t="s">
        <v>158</v>
      </c>
      <c r="G8" s="6" t="s">
        <v>160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9" t="s">
        <v>163</v>
      </c>
      <c r="B5" s="9" t="s">
        <v>164</v>
      </c>
      <c r="C5" s="9" t="s">
        <v>52</v>
      </c>
      <c r="D5" s="9" t="s">
        <v>165</v>
      </c>
      <c r="E5" s="9" t="s">
        <v>166</v>
      </c>
      <c r="F5" s="9" t="s">
        <v>167</v>
      </c>
    </row>
    <row r="6" customFormat="false" ht="28.35" hidden="false" customHeight="false" outlineLevel="0" collapsed="false">
      <c r="A6" s="5" t="s">
        <v>168</v>
      </c>
      <c r="B6" s="6" t="s">
        <v>169</v>
      </c>
      <c r="C6" s="5" t="s">
        <v>68</v>
      </c>
      <c r="D6" s="5" t="s">
        <v>170</v>
      </c>
      <c r="E6" s="6" t="s">
        <v>171</v>
      </c>
      <c r="F6" s="6" t="s">
        <v>172</v>
      </c>
    </row>
    <row r="7" customFormat="false" ht="28.35" hidden="false" customHeight="false" outlineLevel="0" collapsed="false">
      <c r="A7" s="5" t="s">
        <v>173</v>
      </c>
      <c r="B7" s="6" t="s">
        <v>174</v>
      </c>
      <c r="C7" s="5" t="s">
        <v>175</v>
      </c>
      <c r="D7" s="5" t="s">
        <v>176</v>
      </c>
      <c r="E7" s="6" t="s">
        <v>177</v>
      </c>
      <c r="F7" s="6" t="s">
        <v>178</v>
      </c>
    </row>
    <row r="8" customFormat="false" ht="28.35" hidden="false" customHeight="false" outlineLevel="0" collapsed="false">
      <c r="A8" s="5" t="s">
        <v>168</v>
      </c>
      <c r="B8" s="6" t="s">
        <v>179</v>
      </c>
      <c r="C8" s="5" t="s">
        <v>180</v>
      </c>
      <c r="D8" s="5" t="s">
        <v>170</v>
      </c>
      <c r="E8" s="6" t="s">
        <v>181</v>
      </c>
      <c r="F8" s="6" t="s">
        <v>182</v>
      </c>
    </row>
  </sheetData>
  <mergeCells count="3">
    <mergeCell ref="A1:F1"/>
    <mergeCell ref="A2:F2"/>
    <mergeCell ref="A3:F3"/>
  </mergeCells>
  <dataValidations count="2">
    <dataValidation allowBlank="true" errorStyle="stop" operator="between" showDropDown="false" showErrorMessage="false" showInputMessage="false" sqref="A6:A205" type="list">
      <formula1>"Assumption,Constraint"</formula1>
      <formula2>0</formula2>
    </dataValidation>
    <dataValidation allowBlank="true" errorStyle="stop" operator="between" showDropDown="false" showErrorMessage="false" showInputMessage="false" sqref="D6:D20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