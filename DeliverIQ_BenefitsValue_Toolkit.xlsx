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Index" sheetId="1" state="visible" r:id="rId3"/>
    <sheet name="01 Benefits Register" sheetId="2" state="visible" r:id="rId4"/>
    <sheet name="02 Benefits Realisation Plan" sheetId="3" state="visible" r:id="rId5"/>
    <sheet name="03 OKR Tracker" sheetId="4" state="visible" r:id="rId6"/>
    <sheet name="04 Value Governance Dashboard" sheetId="5" state="visible" r:id="rId7"/>
    <sheet name="05 Benefits Dependency Map" sheetId="6" state="visible" r:id="rId8"/>
    <sheet name="06 Business Case Summary" sheetId="7" state="visible" r:id="rId9"/>
    <sheet name="07 Benefits Review 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<sst xmlns="http://schemas.openxmlformats.org/spreadsheetml/2006/main" count="169" uniqueCount="116">
  <si>
    <t xml:space="preserve">Benefits &amp; Value Toolkit</t>
  </si>
  <si>
    <t xml:space="preserve">Benefits &amp; Value | DeliverIQ Open PM Toolkit - Area Workbook</t>
  </si>
  <si>
    <t xml:space="preserve">Free reusable template - CC BY 4.0 - Sheuli A Mukherjee / DeliverIQ</t>
  </si>
  <si>
    <t xml:space="preserve">Sheet</t>
  </si>
  <si>
    <t xml:space="preserve">Template</t>
  </si>
  <si>
    <t xml:space="preserve">Purpose</t>
  </si>
  <si>
    <t xml:space="preserve">01 Benefits Register</t>
  </si>
  <si>
    <t xml:space="preserve">Starter</t>
  </si>
  <si>
    <t xml:space="preserve">Master list of benefits, baseline, target and status.</t>
  </si>
  <si>
    <t xml:space="preserve">02 Benefits Realisation Plan</t>
  </si>
  <si>
    <t xml:space="preserve">Professional / AI-ready</t>
  </si>
  <si>
    <t xml:space="preserve">Links outcomes to benefits, KPIs and measurement source.</t>
  </si>
  <si>
    <t xml:space="preserve">03 OKR Tracker</t>
  </si>
  <si>
    <t xml:space="preserve">Agile</t>
  </si>
  <si>
    <t xml:space="preserve">Objective/Key Result tracking for value delivery.</t>
  </si>
  <si>
    <t xml:space="preserve">04 Value Governance Dashboard</t>
  </si>
  <si>
    <t xml:space="preserve">Executive</t>
  </si>
  <si>
    <t xml:space="preserve">Investment vs realised benefit, with confidence and decision.</t>
  </si>
  <si>
    <t xml:space="preserve">05 Benefits Dependency Map</t>
  </si>
  <si>
    <t xml:space="preserve">Deep-dive</t>
  </si>
  <si>
    <t xml:space="preserve">Which deliverables and workstreams must land for each benefit.</t>
  </si>
  <si>
    <t xml:space="preserve">06 Business Case Summary</t>
  </si>
  <si>
    <t xml:space="preserve">Cost, benefit, payback and ROI placeholders with formulas.</t>
  </si>
  <si>
    <t xml:space="preserve">07 Benefits Review Log</t>
  </si>
  <si>
    <t xml:space="preserve">Operational</t>
  </si>
  <si>
    <t xml:space="preserve">Cadence and outcomes of periodic benefits review meetings.</t>
  </si>
  <si>
    <t xml:space="preserve">Benefits Register</t>
  </si>
  <si>
    <t xml:space="preserve">Benefits &amp; Value | DeliverIQ Open PM Toolkit</t>
  </si>
  <si>
    <t xml:space="preserve">Benefit</t>
  </si>
  <si>
    <t xml:space="preserve">Owner</t>
  </si>
  <si>
    <t xml:space="preserve">Baseline</t>
  </si>
  <si>
    <t xml:space="preserve">Target</t>
  </si>
  <si>
    <t xml:space="preserve">Actual</t>
  </si>
  <si>
    <t xml:space="preserve">Unit</t>
  </si>
  <si>
    <t xml:space="preserve">Target Date</t>
  </si>
  <si>
    <t xml:space="preserve">Status</t>
  </si>
  <si>
    <t xml:space="preserve">Evidence</t>
  </si>
  <si>
    <t xml:space="preserve">Confidence</t>
  </si>
  <si>
    <t xml:space="preserve">Reduce report latency</t>
  </si>
  <si>
    <t xml:space="preserve">BI Lead</t>
  </si>
  <si>
    <t xml:space="preserve">minutes</t>
  </si>
  <si>
    <t xml:space="preserve">2026-11-30</t>
  </si>
  <si>
    <t xml:space="preserve">Planned</t>
  </si>
  <si>
    <t xml:space="preserve">-</t>
  </si>
  <si>
    <t xml:space="preserve">Medium</t>
  </si>
  <si>
    <t xml:space="preserve">Reduce incident volume</t>
  </si>
  <si>
    <t xml:space="preserve">Ops Lead</t>
  </si>
  <si>
    <t xml:space="preserve">incidents/mo</t>
  </si>
  <si>
    <t xml:space="preserve">2026-12-31</t>
  </si>
  <si>
    <t xml:space="preserve">Lower infrastructure cost</t>
  </si>
  <si>
    <t xml:space="preserve">Finance Lead</t>
  </si>
  <si>
    <t xml:space="preserve">USD/yr</t>
  </si>
  <si>
    <t xml:space="preserve">2027-01-31</t>
  </si>
  <si>
    <t xml:space="preserve">Low</t>
  </si>
  <si>
    <t xml:space="preserve">Benefits Realisation Plan</t>
  </si>
  <si>
    <t xml:space="preserve">Outcome</t>
  </si>
  <si>
    <t xml:space="preserve">KPI</t>
  </si>
  <si>
    <t xml:space="preserve">Measurement Source</t>
  </si>
  <si>
    <t xml:space="preserve">Realisation Date</t>
  </si>
  <si>
    <t xml:space="preserve">Faster reporting</t>
  </si>
  <si>
    <t xml:space="preserve">Reduce latency</t>
  </si>
  <si>
    <t xml:space="preserve">Avg report refresh (min)</t>
  </si>
  <si>
    <t xml:space="preserve">Monitoring dashboard</t>
  </si>
  <si>
    <t xml:space="preserve">Fewer production incidents</t>
  </si>
  <si>
    <t xml:space="preserve">Incidents per month</t>
  </si>
  <si>
    <t xml:space="preserve">Service desk system</t>
  </si>
  <si>
    <t xml:space="preserve">OKR Tracker</t>
  </si>
  <si>
    <t xml:space="preserve">Objective</t>
  </si>
  <si>
    <t xml:space="preserve">Key Result</t>
  </si>
  <si>
    <t xml:space="preserve">Improve migration quality</t>
  </si>
  <si>
    <t xml:space="preserve">Reduce reconciliation exceptions</t>
  </si>
  <si>
    <t xml:space="preserve">count</t>
  </si>
  <si>
    <t xml:space="preserve">Data Lead</t>
  </si>
  <si>
    <t xml:space="preserve">In Progress</t>
  </si>
  <si>
    <t xml:space="preserve">Achieve zero P1 defects at go-live</t>
  </si>
  <si>
    <t xml:space="preserve">QA Lead</t>
  </si>
  <si>
    <t xml:space="preserve">Value Governance Dashboard</t>
  </si>
  <si>
    <t xml:space="preserve">Investment</t>
  </si>
  <si>
    <t xml:space="preserve">Planned Benefit</t>
  </si>
  <si>
    <t xml:space="preserve">Realised Benefit</t>
  </si>
  <si>
    <t xml:space="preserve">Decision</t>
  </si>
  <si>
    <t xml:space="preserve">Migration Programme</t>
  </si>
  <si>
    <t xml:space="preserve">Continue</t>
  </si>
  <si>
    <t xml:space="preserve">Benefits Dependency Map</t>
  </si>
  <si>
    <t xml:space="preserve">Depends On Deliverable</t>
  </si>
  <si>
    <t xml:space="preserve">Workstream</t>
  </si>
  <si>
    <t xml:space="preserve">Risk if Deliverable Slips</t>
  </si>
  <si>
    <t xml:space="preserve">New reporting layer live</t>
  </si>
  <si>
    <t xml:space="preserve">Platform</t>
  </si>
  <si>
    <t xml:space="preserve">Benefit realisation delayed by same margin as slip</t>
  </si>
  <si>
    <t xml:space="preserve">Legacy platform decommissioned</t>
  </si>
  <si>
    <t xml:space="preserve">Cutover</t>
  </si>
  <si>
    <t xml:space="preserve">Benefit cannot start until decommission complete</t>
  </si>
  <si>
    <t xml:space="preserve">Business Case Summary</t>
  </si>
  <si>
    <t xml:space="preserve">Benefits &amp; Value | Cost vs benefit summary, calculated by formula</t>
  </si>
  <si>
    <t xml:space="preserve">Line Item</t>
  </si>
  <si>
    <t xml:space="preserve">Value (USD)</t>
  </si>
  <si>
    <t xml:space="preserve">Total Programme Investment</t>
  </si>
  <si>
    <t xml:space="preserve">Annualised Value of Planned Benefits</t>
  </si>
  <si>
    <t xml:space="preserve">Estimated Annual Run-Rate Saving (fill in once known)</t>
  </si>
  <si>
    <t xml:space="preserve">Metric</t>
  </si>
  <si>
    <t xml:space="preserve">Formula / Value</t>
  </si>
  <si>
    <t xml:space="preserve">Simple ROI (%) - Saving vs Investment</t>
  </si>
  <si>
    <t xml:space="preserve">Payback Period (years, illustrative)</t>
  </si>
  <si>
    <t xml:space="preserve">Benefits Review Log</t>
  </si>
  <si>
    <t xml:space="preserve">Review Date</t>
  </si>
  <si>
    <t xml:space="preserve">Benefit Reviewed</t>
  </si>
  <si>
    <t xml:space="preserve">Progress Since Last Review</t>
  </si>
  <si>
    <t xml:space="preserve">Confidence Change</t>
  </si>
  <si>
    <t xml:space="preserve">Action</t>
  </si>
  <si>
    <t xml:space="preserve">Next Review</t>
  </si>
  <si>
    <t xml:space="preserve">2026-09-01</t>
  </si>
  <si>
    <t xml:space="preserve">Design confirmed for new reporting layer</t>
  </si>
  <si>
    <t xml:space="preserve">No change</t>
  </si>
  <si>
    <t xml:space="preserve">None</t>
  </si>
  <si>
    <t xml:space="preserve">2026-10-01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</si>
</sst>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color rgb="FF667085"/>
      <name val="Calibri"/>
      <family val="0"/>
      <charset val="1"/>
    </font>
    <font>
      <sz val="9"/>
      <color rgb="FF47546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635BFF"/>
        <bgColor rgb="FF667085"/>
      </patternFill>
    </fill>
    <fill>
      <patternFill patternType="solid">
        <fgColor rgb="FF0F766E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35B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111827"/>
      <rgbColor rgb="FF333300"/>
      <rgbColor rgb="FF993300"/>
      <rgbColor rgb="FF993366"/>
      <rgbColor rgb="FF47546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3"/>
      <c r="C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5" t="s">
        <v>7</v>
      </c>
      <c r="C6" s="5" t="s">
        <v>8</v>
      </c>
    </row>
    <row r="7" customFormat="false" ht="15" hidden="false" customHeight="false" outlineLevel="0" collapsed="false">
      <c r="A7" s="5" t="s">
        <v>9</v>
      </c>
      <c r="B7" s="5" t="s">
        <v>10</v>
      </c>
      <c r="C7" s="5" t="s">
        <v>11</v>
      </c>
    </row>
    <row r="8" customFormat="false" ht="15" hidden="false" customHeight="false" outlineLevel="0" collapsed="false">
      <c r="A8" s="5" t="s">
        <v>12</v>
      </c>
      <c r="B8" s="5" t="s">
        <v>13</v>
      </c>
      <c r="C8" s="5" t="s">
        <v>14</v>
      </c>
    </row>
    <row r="9" customFormat="false" ht="15" hidden="false" customHeight="false" outlineLevel="0" collapsed="false">
      <c r="A9" s="5" t="s">
        <v>15</v>
      </c>
      <c r="B9" s="5" t="s">
        <v>16</v>
      </c>
      <c r="C9" s="5" t="s">
        <v>17</v>
      </c>
    </row>
    <row r="10" customFormat="false" ht="15" hidden="false" customHeight="false" outlineLevel="0" collapsed="false">
      <c r="A10" s="5" t="s">
        <v>18</v>
      </c>
      <c r="B10" s="5" t="s">
        <v>19</v>
      </c>
      <c r="C10" s="5" t="s">
        <v>20</v>
      </c>
    </row>
    <row r="11" customFormat="false" ht="15" hidden="false" customHeight="false" outlineLevel="0" collapsed="false">
      <c r="A11" s="5" t="s">
        <v>21</v>
      </c>
      <c r="B11" s="5" t="s">
        <v>19</v>
      </c>
      <c r="C11" s="5" t="s">
        <v>22</v>
      </c>
    </row>
    <row r="12" customFormat="false" ht="15" hidden="false" customHeight="false" outlineLevel="0" collapsed="false">
      <c r="A12" s="5" t="s">
        <v>23</v>
      </c>
      <c r="B12" s="5" t="s">
        <v>24</v>
      </c>
      <c r="C12" s="5" t="s">
        <v>25</v>
      </c>
    </row>
  </sheetData>
  <mergeCells count="3">
    <mergeCell ref="A1:C1"/>
    <mergeCell ref="A2:C2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5" min="3" style="0" width="12"/>
    <col collapsed="false" customWidth="true" hidden="false" outlineLevel="0" max="8" min="6" style="0" width="14"/>
    <col collapsed="false" customWidth="true" hidden="false" outlineLevel="0" max="10" min="9" style="0" width="12"/>
  </cols>
  <sheetData>
    <row r="1" customFormat="false" ht="25.5" hidden="false" customHeight="tru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5" customFormat="false" ht="15" hidden="false" customHeight="false" outlineLevel="0" collapsed="false">
      <c r="A5" s="4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34</v>
      </c>
      <c r="H5" s="4" t="s">
        <v>35</v>
      </c>
      <c r="I5" s="4" t="s">
        <v>36</v>
      </c>
      <c r="J5" s="4" t="s">
        <v>37</v>
      </c>
    </row>
    <row r="6" customFormat="false" ht="15" hidden="false" customHeight="false" outlineLevel="0" collapsed="false">
      <c r="A6" s="5" t="s">
        <v>38</v>
      </c>
      <c r="B6" s="5" t="s">
        <v>39</v>
      </c>
      <c r="C6" s="6" t="n">
        <v>60</v>
      </c>
      <c r="D6" s="6" t="n">
        <v>15</v>
      </c>
      <c r="E6" s="6" t="n">
        <v>60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</row>
    <row r="7" customFormat="false" ht="15" hidden="false" customHeight="false" outlineLevel="0" collapsed="false">
      <c r="A7" s="5" t="s">
        <v>45</v>
      </c>
      <c r="B7" s="5" t="s">
        <v>46</v>
      </c>
      <c r="C7" s="6" t="n">
        <v>40</v>
      </c>
      <c r="D7" s="6" t="n">
        <v>20</v>
      </c>
      <c r="E7" s="6" t="n">
        <v>40</v>
      </c>
      <c r="F7" s="5" t="s">
        <v>47</v>
      </c>
      <c r="G7" s="5" t="s">
        <v>48</v>
      </c>
      <c r="H7" s="5" t="s">
        <v>42</v>
      </c>
      <c r="I7" s="5" t="s">
        <v>43</v>
      </c>
      <c r="J7" s="5" t="s">
        <v>44</v>
      </c>
    </row>
    <row r="8" customFormat="false" ht="15" hidden="false" customHeight="false" outlineLevel="0" collapsed="false">
      <c r="A8" s="5" t="s">
        <v>49</v>
      </c>
      <c r="B8" s="5" t="s">
        <v>50</v>
      </c>
      <c r="C8" s="6" t="n">
        <v>100000</v>
      </c>
      <c r="D8" s="6" t="n">
        <v>80000</v>
      </c>
      <c r="E8" s="6" t="n">
        <v>100000</v>
      </c>
      <c r="F8" s="5" t="s">
        <v>51</v>
      </c>
      <c r="G8" s="5" t="s">
        <v>52</v>
      </c>
      <c r="H8" s="5" t="s">
        <v>42</v>
      </c>
      <c r="I8" s="5" t="s">
        <v>43</v>
      </c>
      <c r="J8" s="5" t="s">
        <v>53</v>
      </c>
    </row>
  </sheetData>
  <mergeCells count="3">
    <mergeCell ref="A1:J1"/>
    <mergeCell ref="A2:J2"/>
    <mergeCell ref="A3:J3"/>
  </mergeCells>
  <dataValidations count="2">
    <dataValidation allowBlank="true" errorStyle="stop" operator="between" showDropDown="false" showErrorMessage="false" showInputMessage="false" sqref="H6:H205" type="list">
      <formula1>"Planned,In Progress,Realised,At Risk,Not Realised"</formula1>
      <formula2>0</formula2>
    </dataValidation>
    <dataValidation allowBlank="true" errorStyle="stop" operator="between" showDropDown="false" showErrorMessage="false" showInputMessage="false" sqref="J6:J205" type="list">
      <formula1>"Low,Medium,High"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5" min="4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25.5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15" hidden="false" customHeight="false" outlineLevel="0" collapsed="false">
      <c r="A5" s="4" t="s">
        <v>55</v>
      </c>
      <c r="B5" s="4" t="s">
        <v>28</v>
      </c>
      <c r="C5" s="4" t="s">
        <v>56</v>
      </c>
      <c r="D5" s="4" t="s">
        <v>30</v>
      </c>
      <c r="E5" s="4" t="s">
        <v>31</v>
      </c>
      <c r="F5" s="4" t="s">
        <v>57</v>
      </c>
      <c r="G5" s="4" t="s">
        <v>29</v>
      </c>
      <c r="H5" s="4" t="s">
        <v>58</v>
      </c>
      <c r="I5" s="4" t="s">
        <v>36</v>
      </c>
    </row>
    <row r="6" customFormat="false" ht="15" hidden="false" customHeight="false" outlineLevel="0" collapsed="false">
      <c r="A6" s="5" t="s">
        <v>59</v>
      </c>
      <c r="B6" s="5" t="s">
        <v>60</v>
      </c>
      <c r="C6" s="7" t="s">
        <v>61</v>
      </c>
      <c r="D6" s="6" t="n">
        <v>60</v>
      </c>
      <c r="E6" s="6" t="n">
        <v>15</v>
      </c>
      <c r="F6" s="5" t="s">
        <v>62</v>
      </c>
      <c r="G6" s="5" t="s">
        <v>39</v>
      </c>
      <c r="H6" s="5" t="s">
        <v>41</v>
      </c>
      <c r="I6" s="5" t="s">
        <v>43</v>
      </c>
    </row>
    <row r="7" customFormat="false" ht="15" hidden="false" customHeight="false" outlineLevel="0" collapsed="false">
      <c r="A7" s="5" t="s">
        <v>63</v>
      </c>
      <c r="B7" s="5" t="s">
        <v>45</v>
      </c>
      <c r="C7" s="7" t="s">
        <v>64</v>
      </c>
      <c r="D7" s="6" t="n">
        <v>40</v>
      </c>
      <c r="E7" s="6" t="n">
        <v>20</v>
      </c>
      <c r="F7" s="5" t="s">
        <v>65</v>
      </c>
      <c r="G7" s="5" t="s">
        <v>46</v>
      </c>
      <c r="H7" s="5" t="s">
        <v>48</v>
      </c>
      <c r="I7" s="5" t="s">
        <v>43</v>
      </c>
    </row>
  </sheetData>
  <mergeCells count="3">
    <mergeCell ref="A1:I1"/>
    <mergeCell ref="A2:I2"/>
    <mergeCell ref="A3:I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15" hidden="false" customHeight="false" outlineLevel="0" collapsed="false">
      <c r="A5" s="4" t="s">
        <v>67</v>
      </c>
      <c r="B5" s="4" t="s">
        <v>68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29</v>
      </c>
      <c r="H5" s="4" t="s">
        <v>37</v>
      </c>
      <c r="I5" s="4" t="s">
        <v>35</v>
      </c>
    </row>
    <row r="6" customFormat="false" ht="15" hidden="false" customHeight="false" outlineLevel="0" collapsed="false">
      <c r="A6" s="5" t="s">
        <v>69</v>
      </c>
      <c r="B6" s="7" t="s">
        <v>70</v>
      </c>
      <c r="C6" s="6" t="n">
        <v>100</v>
      </c>
      <c r="D6" s="6" t="n">
        <v>10</v>
      </c>
      <c r="E6" s="6" t="n">
        <v>100</v>
      </c>
      <c r="F6" s="5" t="s">
        <v>71</v>
      </c>
      <c r="G6" s="5" t="s">
        <v>72</v>
      </c>
      <c r="H6" s="5" t="s">
        <v>44</v>
      </c>
      <c r="I6" s="5" t="s">
        <v>73</v>
      </c>
    </row>
    <row r="7" customFormat="false" ht="15" hidden="false" customHeight="false" outlineLevel="0" collapsed="false">
      <c r="A7" s="5" t="s">
        <v>69</v>
      </c>
      <c r="B7" s="7" t="s">
        <v>74</v>
      </c>
      <c r="C7" s="6" t="n">
        <v>3</v>
      </c>
      <c r="D7" s="6" t="n">
        <v>0</v>
      </c>
      <c r="E7" s="6" t="n">
        <v>3</v>
      </c>
      <c r="F7" s="5" t="s">
        <v>71</v>
      </c>
      <c r="G7" s="5" t="s">
        <v>75</v>
      </c>
      <c r="H7" s="5" t="s">
        <v>44</v>
      </c>
      <c r="I7" s="5" t="s">
        <v>73</v>
      </c>
    </row>
  </sheetData>
  <mergeCells count="3">
    <mergeCell ref="A1:I1"/>
    <mergeCell ref="A2:I2"/>
    <mergeCell ref="A3:I3"/>
  </mergeCells>
  <dataValidations count="2">
    <dataValidation allowBlank="true" errorStyle="stop" operator="between" showDropDown="false" showErrorMessage="false" showInputMessage="false" sqref="H6:H205" type="list">
      <formula1>"Low,Medium,High"</formula1>
      <formula2>0</formula2>
    </dataValidation>
    <dataValidation allowBlank="true" errorStyle="stop" operator="between" showDropDown="false" showErrorMessage="false" showInputMessage="false" sqref="I6:I205" type="list">
      <formula1>"Planned,In Progress,Realised,At Risk,Not Realised"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6" min="4" style="0" width="14"/>
  </cols>
  <sheetData>
    <row r="1" customFormat="false" ht="25.5" hidden="false" customHeight="true" outlineLevel="0" collapsed="false">
      <c r="A1" s="1" t="s">
        <v>76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5" hidden="false" customHeight="false" outlineLevel="0" collapsed="false">
      <c r="A5" s="4" t="s">
        <v>77</v>
      </c>
      <c r="B5" s="4" t="s">
        <v>78</v>
      </c>
      <c r="C5" s="4" t="s">
        <v>79</v>
      </c>
      <c r="D5" s="4" t="s">
        <v>36</v>
      </c>
      <c r="E5" s="4" t="s">
        <v>37</v>
      </c>
      <c r="F5" s="4" t="s">
        <v>80</v>
      </c>
    </row>
    <row r="6" customFormat="false" ht="15" hidden="false" customHeight="false" outlineLevel="0" collapsed="false">
      <c r="A6" s="5" t="s">
        <v>81</v>
      </c>
      <c r="B6" s="6" t="n">
        <f aca="false">SUM('01 Benefits Register'!D6:D8)</f>
        <v>80035</v>
      </c>
      <c r="C6" s="6" t="n">
        <v>0</v>
      </c>
      <c r="D6" s="5" t="s">
        <v>43</v>
      </c>
      <c r="E6" s="5" t="s">
        <v>44</v>
      </c>
      <c r="F6" s="5" t="s">
        <v>82</v>
      </c>
    </row>
  </sheetData>
  <mergeCells count="3">
    <mergeCell ref="A1:F1"/>
    <mergeCell ref="A2:F2"/>
    <mergeCell ref="A3:F3"/>
  </mergeCells>
  <dataValidations count="2">
    <dataValidation allowBlank="true" errorStyle="stop" operator="between" showDropDown="false" showErrorMessage="false" showInputMessage="false" sqref="E6:E205" type="list">
      <formula1>"Low,Medium,High"</formula1>
      <formula2>0</formula2>
    </dataValidation>
    <dataValidation allowBlank="true" errorStyle="stop" operator="between" showDropDown="false" showErrorMessage="false" showInputMessage="false" sqref="F6:F205" type="list">
      <formula1>"Continue,Pause,Stop,Accelerate"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83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28</v>
      </c>
      <c r="B5" s="4" t="s">
        <v>84</v>
      </c>
      <c r="C5" s="4" t="s">
        <v>85</v>
      </c>
      <c r="D5" s="4" t="s">
        <v>86</v>
      </c>
      <c r="E5" s="4" t="s">
        <v>29</v>
      </c>
    </row>
    <row r="6" customFormat="false" ht="28.35" hidden="false" customHeight="false" outlineLevel="0" collapsed="false">
      <c r="A6" s="5" t="s">
        <v>38</v>
      </c>
      <c r="B6" s="5" t="s">
        <v>87</v>
      </c>
      <c r="C6" s="5" t="s">
        <v>88</v>
      </c>
      <c r="D6" s="7" t="s">
        <v>89</v>
      </c>
      <c r="E6" s="5" t="s">
        <v>39</v>
      </c>
    </row>
    <row r="7" customFormat="false" ht="28.35" hidden="false" customHeight="false" outlineLevel="0" collapsed="false">
      <c r="A7" s="5" t="s">
        <v>45</v>
      </c>
      <c r="B7" s="5" t="s">
        <v>90</v>
      </c>
      <c r="C7" s="5" t="s">
        <v>91</v>
      </c>
      <c r="D7" s="7" t="s">
        <v>92</v>
      </c>
      <c r="E7" s="5" t="s">
        <v>46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25.5" hidden="false" customHeight="true" outlineLevel="0" collapsed="false">
      <c r="A1" s="1" t="s">
        <v>93</v>
      </c>
      <c r="B1" s="1"/>
    </row>
    <row r="2" customFormat="false" ht="15" hidden="false" customHeight="false" outlineLevel="0" collapsed="false">
      <c r="A2" s="2" t="s">
        <v>94</v>
      </c>
      <c r="B2" s="2"/>
    </row>
    <row r="3" customFormat="false" ht="15" hidden="false" customHeight="false" outlineLevel="0" collapsed="false">
      <c r="A3" s="3" t="s">
        <v>2</v>
      </c>
      <c r="B3" s="3"/>
    </row>
    <row r="5" customFormat="false" ht="15" hidden="false" customHeight="false" outlineLevel="0" collapsed="false">
      <c r="A5" s="4" t="s">
        <v>95</v>
      </c>
      <c r="B5" s="4" t="s">
        <v>96</v>
      </c>
    </row>
    <row r="6" customFormat="false" ht="15" hidden="false" customHeight="false" outlineLevel="0" collapsed="false">
      <c r="A6" s="5" t="s">
        <v>97</v>
      </c>
      <c r="B6" s="6" t="n">
        <v>500000</v>
      </c>
    </row>
    <row r="7" customFormat="false" ht="15" hidden="false" customHeight="false" outlineLevel="0" collapsed="false">
      <c r="A7" s="5" t="s">
        <v>98</v>
      </c>
      <c r="B7" s="6" t="n">
        <f aca="false">SUM('01 Benefits Register'!D6:D8)</f>
        <v>80035</v>
      </c>
    </row>
    <row r="8" customFormat="false" ht="15" hidden="false" customHeight="false" outlineLevel="0" collapsed="false">
      <c r="A8" s="5" t="s">
        <v>99</v>
      </c>
      <c r="B8" s="6" t="n">
        <v>100000</v>
      </c>
    </row>
    <row r="11" customFormat="false" ht="15" hidden="false" customHeight="false" outlineLevel="0" collapsed="false">
      <c r="A11" s="8" t="s">
        <v>100</v>
      </c>
      <c r="B11" s="8" t="s">
        <v>101</v>
      </c>
    </row>
    <row r="12" customFormat="false" ht="15" hidden="false" customHeight="false" outlineLevel="0" collapsed="false">
      <c r="A12" s="5" t="s">
        <v>102</v>
      </c>
      <c r="B12" s="9" t="n">
        <f aca="false">(B8-B6)/B6</f>
        <v>-0.8</v>
      </c>
    </row>
    <row r="13" customFormat="false" ht="15" hidden="false" customHeight="false" outlineLevel="0" collapsed="false">
      <c r="A13" s="5" t="s">
        <v>103</v>
      </c>
      <c r="B13" s="9" t="n">
        <f aca="false">IF(B8=0,"n/a",B6/B8)</f>
        <v>5</v>
      </c>
    </row>
  </sheetData>
  <mergeCells count="3">
    <mergeCell ref="A1:B1"/>
    <mergeCell ref="A2:B2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5" min="4" style="0" width="16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" t="s">
        <v>104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28.35" hidden="false" customHeight="false" outlineLevel="0" collapsed="false">
      <c r="A5" s="4" t="s">
        <v>105</v>
      </c>
      <c r="B5" s="4" t="s">
        <v>106</v>
      </c>
      <c r="C5" s="4" t="s">
        <v>107</v>
      </c>
      <c r="D5" s="4" t="s">
        <v>108</v>
      </c>
      <c r="E5" s="4" t="s">
        <v>109</v>
      </c>
      <c r="F5" s="4" t="s">
        <v>110</v>
      </c>
    </row>
    <row r="6" customFormat="false" ht="28.35" hidden="false" customHeight="false" outlineLevel="0" collapsed="false">
      <c r="A6" s="5" t="s">
        <v>111</v>
      </c>
      <c r="B6" s="5" t="s">
        <v>38</v>
      </c>
      <c r="C6" s="7" t="s">
        <v>112</v>
      </c>
      <c r="D6" s="5" t="s">
        <v>113</v>
      </c>
      <c r="E6" s="5" t="s">
        <v>114</v>
      </c>
      <c r="F6" s="5" t="s">
        <v>115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2026-09-13T19:11:34Z</dcterms:created>
  <dc:creator>openpyxl</dc:creator>
  <dc:description/>
  <dc:language>en-US</dc:language>
  <cp:lastModifiedBy/>
  <dcterms:modified xsi:type="dcterms:W3CDTF">2026-09-13T19:11:34Z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