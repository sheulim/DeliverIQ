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Basic Dependency Register" sheetId="2" state="visible" r:id="rId4"/>
    <sheet name="02 CrossTeam Dependency Registe" sheetId="3" state="visible" r:id="rId5"/>
    <sheet name="03 Programme Dependency Heatmap" sheetId="4" state="visible" r:id="rId6"/>
    <sheet name="04 Dependency Impact Assessment" sheetId="5" state="visible" r:id="rId7"/>
    <sheet name="05 Dependency Scoring Guide" sheetId="6" state="visible" r:id="rId8"/>
    <sheet name="06 Escalation &amp; SLA Tracker" sheetId="7" state="visible" r:id="rId9"/>
    <sheet name="07 Dependency Health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<sst xmlns="http://schemas.openxmlformats.org/spreadsheetml/2006/main" count="244" uniqueCount="170">
  <si>
    <t xml:space="preserve">Dependencies Toolkit</t>
  </si>
  <si>
    <t xml:space="preserve">Dependencies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</si>
  <si>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</si>
  <si>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</si>
  <si>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</si>
  <si>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</si>
  <si>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Basic Dependency Register</t>
  </si>
  <si>
    <t xml:space="preserve">Starter</t>
  </si>
  <si>
    <t xml:space="preserve">Single-project log of what you are waiting on from others.</t>
  </si>
  <si>
    <t xml:space="preserve">02 CrossTeam Dependency Register</t>
  </si>
  <si>
    <t xml:space="preserve">Professional / AI-ready</t>
  </si>
  <si>
    <t xml:space="preserve">Multi-attribute register for tracking dependencies between teams.</t>
  </si>
  <si>
    <t xml:space="preserve">03 Programme Dependency Heatmap</t>
  </si>
  <si>
    <t xml:space="preserve">Executive</t>
  </si>
  <si>
    <t xml:space="preserve">Roll-up view of the riskiest cross-project dependencies for leadership.</t>
  </si>
  <si>
    <t xml:space="preserve">04 Dependency Impact Assessment</t>
  </si>
  <si>
    <t xml:space="preserve">Models the knock-on effect if a specific dependency slips.</t>
  </si>
  <si>
    <t xml:space="preserve">05 Dependency Scoring Guide</t>
  </si>
  <si>
    <t xml:space="preserve">Reference</t>
  </si>
  <si>
    <t xml:space="preserve">How to score criticality, set RAG thresholds, and read the heatmap.</t>
  </si>
  <si>
    <t xml:space="preserve">06 Escalation &amp; SLA Tracker</t>
  </si>
  <si>
    <t xml:space="preserve">Operational</t>
  </si>
  <si>
    <t xml:space="preserve">Tracks who a dependency was escalated to, when, and against what SLA.</t>
  </si>
  <si>
    <t xml:space="preserve">07 Dependency Health Dashboard</t>
  </si>
  <si>
    <t xml:space="preserve">Analysis</t>
  </si>
  <si>
    <t xml:space="preserve">Live counts and RAG split calculated from the registers, by formula.</t>
  </si>
  <si>
    <t xml:space="preserve">Basic Dependency Register</t>
  </si>
  <si>
    <t xml:space="preserve">Dependencies | DeliverIQ Open PM Toolkit</t>
  </si>
  <si>
    <t xml:space="preserve">Dependency</t>
  </si>
  <si>
    <t xml:space="preserve">Provider</t>
  </si>
  <si>
    <t xml:space="preserve">Consumer</t>
  </si>
  <si>
    <t xml:space="preserve">Owner</t>
  </si>
  <si>
    <t xml:space="preserve">Due Date</t>
  </si>
  <si>
    <t xml:space="preserve">Status</t>
  </si>
  <si>
    <t xml:space="preserve">API certification</t>
  </si>
  <si>
    <t xml:space="preserve">Platform Team</t>
  </si>
  <si>
    <t xml:space="preserve">Migration Team</t>
  </si>
  <si>
    <t xml:space="preserve">Delivery Lead</t>
  </si>
  <si>
    <t xml:space="preserve">2026-10-01</t>
  </si>
  <si>
    <t xml:space="preserve">Open</t>
  </si>
  <si>
    <t xml:space="preserve">Test environment refresh</t>
  </si>
  <si>
    <t xml:space="preserve">Infrastructure</t>
  </si>
  <si>
    <t xml:space="preserve">QA Team</t>
  </si>
  <si>
    <t xml:space="preserve">QA Lead</t>
  </si>
  <si>
    <t xml:space="preserve">2026-09-20</t>
  </si>
  <si>
    <t xml:space="preserve">In Progress</t>
  </si>
  <si>
    <t xml:space="preserve">Legal sign-off on data use</t>
  </si>
  <si>
    <t xml:space="preserve">Legal</t>
  </si>
  <si>
    <t xml:space="preserve">Data Team</t>
  </si>
  <si>
    <t xml:space="preserve">Project Manager</t>
  </si>
  <si>
    <t xml:space="preserve">2026-09-25</t>
  </si>
  <si>
    <t xml:space="preserve">Vendor licence renewal</t>
  </si>
  <si>
    <t xml:space="preserve">Procurement</t>
  </si>
  <si>
    <t xml:space="preserve">Delivery Team</t>
  </si>
  <si>
    <t xml:space="preserve">2026-10-10</t>
  </si>
  <si>
    <t xml:space="preserve">At Risk</t>
  </si>
  <si>
    <t xml:space="preserve">Content migration script</t>
  </si>
  <si>
    <t xml:space="preserve">Engineering</t>
  </si>
  <si>
    <t xml:space="preserve">Content Team</t>
  </si>
  <si>
    <t xml:space="preserve">Tech Lead</t>
  </si>
  <si>
    <t xml:space="preserve">2026-09-18</t>
  </si>
  <si>
    <t xml:space="preserve">Closed</t>
  </si>
  <si>
    <t xml:space="preserve">Cross-Team Dependency Register</t>
  </si>
  <si>
    <t xml:space="preserve">Provider Team</t>
  </si>
  <si>
    <t xml:space="preserve">Consumer Team</t>
  </si>
  <si>
    <t xml:space="preserve">Dependency Type</t>
  </si>
  <si>
    <t xml:space="preserve">Criticality</t>
  </si>
  <si>
    <t xml:space="preserve">Impact</t>
  </si>
  <si>
    <t xml:space="preserve">Escalation</t>
  </si>
  <si>
    <t xml:space="preserve">Data feed certification</t>
  </si>
  <si>
    <t xml:space="preserve">Platform</t>
  </si>
  <si>
    <t xml:space="preserve">Migration</t>
  </si>
  <si>
    <t xml:space="preserve">Technical</t>
  </si>
  <si>
    <t xml:space="preserve">2026-09-30</t>
  </si>
  <si>
    <t xml:space="preserve">High</t>
  </si>
  <si>
    <t xml:space="preserve">May delay UAT exit</t>
  </si>
  <si>
    <t xml:space="preserve">Programme</t>
  </si>
  <si>
    <t xml:space="preserve">Shared identity service</t>
  </si>
  <si>
    <t xml:space="preserve">2026-10-05</t>
  </si>
  <si>
    <t xml:space="preserve">Blocks login testing</t>
  </si>
  <si>
    <t xml:space="preserve">Finance reconciliation rules</t>
  </si>
  <si>
    <t xml:space="preserve">Finance</t>
  </si>
  <si>
    <t xml:space="preserve">Data</t>
  </si>
  <si>
    <t xml:space="preserve">Process</t>
  </si>
  <si>
    <t xml:space="preserve">Data Lead</t>
  </si>
  <si>
    <t xml:space="preserve">2026-09-22</t>
  </si>
  <si>
    <t xml:space="preserve">Medium</t>
  </si>
  <si>
    <t xml:space="preserve">Delays sign-off</t>
  </si>
  <si>
    <t xml:space="preserve">Project</t>
  </si>
  <si>
    <t xml:space="preserve">Third-party API rate limits</t>
  </si>
  <si>
    <t xml:space="preserve">Vendor</t>
  </si>
  <si>
    <t xml:space="preserve">External / Vendor</t>
  </si>
  <si>
    <t xml:space="preserve">2026-10-12</t>
  </si>
  <si>
    <t xml:space="preserve">Critical</t>
  </si>
  <si>
    <t xml:space="preserve">Blocks go-live load test</t>
  </si>
  <si>
    <t xml:space="preserve">Programme Dependency Heatmap</t>
  </si>
  <si>
    <t xml:space="preserve">Upstream</t>
  </si>
  <si>
    <t xml:space="preserve">Downstream</t>
  </si>
  <si>
    <t xml:space="preserve">Days at Risk</t>
  </si>
  <si>
    <t xml:space="preserve">Executive Action</t>
  </si>
  <si>
    <t xml:space="preserve">Identity API</t>
  </si>
  <si>
    <t xml:space="preserve">Confirm recovery plan</t>
  </si>
  <si>
    <t xml:space="preserve">Finance feed</t>
  </si>
  <si>
    <t xml:space="preserve">Escalate to Finance SteerCo</t>
  </si>
  <si>
    <t xml:space="preserve">Platform Uplift</t>
  </si>
  <si>
    <t xml:space="preserve">Network cutover window</t>
  </si>
  <si>
    <t xml:space="preserve">2026-10-15</t>
  </si>
  <si>
    <t xml:space="preserve">Monitor</t>
  </si>
  <si>
    <t xml:space="preserve">Dependency Impact Assessment</t>
  </si>
  <si>
    <t xml:space="preserve">Slip Scenario (Days)</t>
  </si>
  <si>
    <t xml:space="preserve">Milestones Affected</t>
  </si>
  <si>
    <t xml:space="preserve">Projects Affected</t>
  </si>
  <si>
    <t xml:space="preserve">Risk Exposure</t>
  </si>
  <si>
    <t xml:space="preserve">Mitigation</t>
  </si>
  <si>
    <t xml:space="preserve">Decision Required</t>
  </si>
  <si>
    <t xml:space="preserve">UAT Exit; Cutover Rehearsal</t>
  </si>
  <si>
    <t xml:space="preserve">Parallel validation path</t>
  </si>
  <si>
    <t xml:space="preserve">Approve contingency</t>
  </si>
  <si>
    <t xml:space="preserve">Reconciliation Sign-off</t>
  </si>
  <si>
    <t xml:space="preserve">Data; Finance</t>
  </si>
  <si>
    <t xml:space="preserve">Manual reconciliation fallback</t>
  </si>
  <si>
    <t xml:space="preserve">Approve manual process</t>
  </si>
  <si>
    <t xml:space="preserve">Go-live Readiness Review</t>
  </si>
  <si>
    <t xml:space="preserve">Delivery</t>
  </si>
  <si>
    <t xml:space="preserve">Extend interim licence</t>
  </si>
  <si>
    <t xml:space="preserve">None - in progress</t>
  </si>
  <si>
    <t xml:space="preserve">Dependency Scoring &amp; RAG Guide</t>
  </si>
  <si>
    <t xml:space="preserve">Dependencies | Reference Guide - how to score and colour-code dependencies</t>
  </si>
  <si>
    <t xml:space="preserve">Definition</t>
  </si>
  <si>
    <t xml:space="preserve">RAG Guidance</t>
  </si>
  <si>
    <t xml:space="preserve">Low</t>
  </si>
  <si>
    <t xml:space="preserve">Delay would not affect any committed milestone; workaround is trivial.</t>
  </si>
  <si>
    <t xml:space="preserve">Green - track at team level only.</t>
  </si>
  <si>
    <t xml:space="preserve">Delay of 1-5 days is absorbable inside existing schedule float.</t>
  </si>
  <si>
    <t xml:space="preserve">Green/Amber - review weekly.</t>
  </si>
  <si>
    <t xml:space="preserve">Delay directly threatens a committed milestone or go-live date.</t>
  </si>
  <si>
    <t xml:space="preserve">Amber - report weekly to programme; assign named owner and mitigation.</t>
  </si>
  <si>
    <t xml:space="preserve">Delay stops a workstream entirely or breaches a contractual/regulatory date.</t>
  </si>
  <si>
    <t xml:space="preserve">Red - escalate immediately; requires executive decision within 48 hours.</t>
  </si>
  <si>
    <t xml:space="preserve">Meaning</t>
  </si>
  <si>
    <t xml:space="preserve">0</t>
  </si>
  <si>
    <t xml:space="preserve">On track against the due date recorded in the register.</t>
  </si>
  <si>
    <t xml:space="preserve">1-3</t>
  </si>
  <si>
    <t xml:space="preserve">Minor slippage - monitor, no escalation required yet.</t>
  </si>
  <si>
    <t xml:space="preserve">4-7</t>
  </si>
  <si>
    <t xml:space="preserve">Material slippage - notify dependency owner and consumer team lead.</t>
  </si>
  <si>
    <t xml:space="preserve">8+</t>
  </si>
  <si>
    <t xml:space="preserve">Severe slippage - escalate to the Programme/SteerCo level and log a Decision Required.</t>
  </si>
  <si>
    <t xml:space="preserve">Escalation &amp; SLA Tracker</t>
  </si>
  <si>
    <t xml:space="preserve">Escalated By</t>
  </si>
  <si>
    <t xml:space="preserve">Escalated To</t>
  </si>
  <si>
    <t xml:space="preserve">Escalation Date</t>
  </si>
  <si>
    <t xml:space="preserve">SLA to Respond (Days)</t>
  </si>
  <si>
    <t xml:space="preserve">Response Due</t>
  </si>
  <si>
    <t xml:space="preserve">Response Received</t>
  </si>
  <si>
    <t xml:space="preserve">Outcome</t>
  </si>
  <si>
    <t xml:space="preserve">Finance Director</t>
  </si>
  <si>
    <t xml:space="preserve">2026-09-14</t>
  </si>
  <si>
    <t xml:space="preserve">2026-09-16</t>
  </si>
  <si>
    <t xml:space="preserve">Platform Head</t>
  </si>
  <si>
    <t xml:space="preserve">2026-09-10</t>
  </si>
  <si>
    <t xml:space="preserve">2026-09-13</t>
  </si>
  <si>
    <t xml:space="preserve">Recovery plan agreed</t>
  </si>
  <si>
    <t xml:space="preserve">Dependency Health Dashboard</t>
  </si>
  <si>
    <t xml:space="preserve">Dependencies | Live counts calculated from the Cross-Team Register</t>
  </si>
  <si>
    <t xml:space="preserve">Metric</t>
  </si>
  <si>
    <t xml:space="preserve">Value</t>
  </si>
  <si>
    <t xml:space="preserve">Total dependencies logged</t>
  </si>
  <si>
    <t xml:space="preserve">Blocked</t>
  </si>
  <si>
    <t xml:space="preserve">Critical criticality open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</si>
</sst>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B45309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10</v>
      </c>
      <c r="C9" s="5" t="s">
        <v>16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 customFormat="false" ht="15" hidden="false" customHeight="false" outlineLevel="0" collapsed="false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</row>
    <row r="7" customFormat="false" ht="15" hidden="false" customHeight="false" outlineLevel="0" collapsed="false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39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53</v>
      </c>
      <c r="D9" s="5" t="s">
        <v>37</v>
      </c>
      <c r="E9" s="5" t="s">
        <v>54</v>
      </c>
      <c r="F9" s="5" t="s">
        <v>55</v>
      </c>
    </row>
    <row r="10" customFormat="false" ht="15" hidden="false" customHeight="false" outlineLevel="0" collapsed="false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</row>
  </sheetData>
  <mergeCells count="3">
    <mergeCell ref="A1:F1"/>
    <mergeCell ref="A2:F2"/>
    <mergeCell ref="A3:F3"/>
  </mergeCells>
  <dataValidations count="1">
    <dataValidation allowBlank="true" errorStyle="stop" operator="between" showDropDown="false" showErrorMessage="false" showInputMessage="false" sqref="F6:F205" type="list">
      <formula1>"Open,In Progress,At Risk,Blocked,Closed"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7" min="6" style="0" width="12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28</v>
      </c>
      <c r="B5" s="4" t="s">
        <v>63</v>
      </c>
      <c r="C5" s="4" t="s">
        <v>64</v>
      </c>
      <c r="D5" s="4" t="s">
        <v>65</v>
      </c>
      <c r="E5" s="4" t="s">
        <v>31</v>
      </c>
      <c r="F5" s="4" t="s">
        <v>32</v>
      </c>
      <c r="G5" s="4" t="s">
        <v>66</v>
      </c>
      <c r="H5" s="4" t="s">
        <v>67</v>
      </c>
      <c r="I5" s="4" t="s">
        <v>68</v>
      </c>
      <c r="J5" s="4" t="s">
        <v>33</v>
      </c>
    </row>
    <row r="6" customFormat="false" ht="15" hidden="false" customHeight="false" outlineLevel="0" collapsed="false">
      <c r="A6" s="5" t="s">
        <v>69</v>
      </c>
      <c r="B6" s="5" t="s">
        <v>70</v>
      </c>
      <c r="C6" s="5" t="s">
        <v>71</v>
      </c>
      <c r="D6" s="5" t="s">
        <v>72</v>
      </c>
      <c r="E6" s="5" t="s">
        <v>37</v>
      </c>
      <c r="F6" s="5" t="s">
        <v>73</v>
      </c>
      <c r="G6" s="5" t="s">
        <v>74</v>
      </c>
      <c r="H6" s="6" t="s">
        <v>75</v>
      </c>
      <c r="I6" s="5" t="s">
        <v>76</v>
      </c>
      <c r="J6" s="5" t="s">
        <v>39</v>
      </c>
    </row>
    <row r="7" customFormat="false" ht="15" hidden="false" customHeight="false" outlineLevel="0" collapsed="false">
      <c r="A7" s="5" t="s">
        <v>77</v>
      </c>
      <c r="B7" s="5" t="s">
        <v>70</v>
      </c>
      <c r="C7" s="5" t="s">
        <v>71</v>
      </c>
      <c r="D7" s="5" t="s">
        <v>72</v>
      </c>
      <c r="E7" s="5" t="s">
        <v>59</v>
      </c>
      <c r="F7" s="5" t="s">
        <v>78</v>
      </c>
      <c r="G7" s="5" t="s">
        <v>74</v>
      </c>
      <c r="H7" s="6" t="s">
        <v>79</v>
      </c>
      <c r="I7" s="5" t="s">
        <v>76</v>
      </c>
      <c r="J7" s="5" t="s">
        <v>45</v>
      </c>
    </row>
    <row r="8" customFormat="false" ht="15" hidden="false" customHeight="false" outlineLevel="0" collapsed="false">
      <c r="A8" s="5" t="s">
        <v>80</v>
      </c>
      <c r="B8" s="5" t="s">
        <v>81</v>
      </c>
      <c r="C8" s="5" t="s">
        <v>82</v>
      </c>
      <c r="D8" s="5" t="s">
        <v>83</v>
      </c>
      <c r="E8" s="5" t="s">
        <v>84</v>
      </c>
      <c r="F8" s="5" t="s">
        <v>85</v>
      </c>
      <c r="G8" s="5" t="s">
        <v>86</v>
      </c>
      <c r="H8" s="6" t="s">
        <v>87</v>
      </c>
      <c r="I8" s="5" t="s">
        <v>88</v>
      </c>
      <c r="J8" s="5" t="s">
        <v>39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57</v>
      </c>
      <c r="D9" s="5" t="s">
        <v>91</v>
      </c>
      <c r="E9" s="5" t="s">
        <v>59</v>
      </c>
      <c r="F9" s="5" t="s">
        <v>92</v>
      </c>
      <c r="G9" s="5" t="s">
        <v>93</v>
      </c>
      <c r="H9" s="6" t="s">
        <v>94</v>
      </c>
      <c r="I9" s="5" t="s">
        <v>76</v>
      </c>
      <c r="J9" s="5" t="s">
        <v>55</v>
      </c>
    </row>
  </sheetData>
  <mergeCells count="3">
    <mergeCell ref="A1:J1"/>
    <mergeCell ref="A2:J2"/>
    <mergeCell ref="A3:J3"/>
  </mergeCells>
  <dataValidations count="3">
    <dataValidation allowBlank="true" errorStyle="stop" operator="between" showDropDown="false" showErrorMessage="false" showInputMessage="false" sqref="D6:D205" type="list">
      <formula1>"Technical,Data,Resource,External / Vendor,Regulatory,Process"</formula1>
      <formula2>0</formula2>
    </dataValidation>
    <dataValidation allowBlank="true" errorStyle="stop" operator="between" showDropDown="false" showErrorMessage="false" showInputMessage="false" sqref="G6:G205" type="list">
      <formula1>"Low,Medium,High,Critical"</formula1>
      <formula2>0</formula2>
    </dataValidation>
    <dataValidation allowBlank="true" errorStyle="stop" operator="between" showDropDown="false" showErrorMessage="false" showInputMessage="false" sqref="J6:J205" type="list">
      <formula1>"Open,In Progress,At Risk,Blocked,Closed"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7" min="5" style="0" width="12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88</v>
      </c>
      <c r="B5" s="4" t="s">
        <v>28</v>
      </c>
      <c r="C5" s="4" t="s">
        <v>96</v>
      </c>
      <c r="D5" s="4" t="s">
        <v>97</v>
      </c>
      <c r="E5" s="4" t="s">
        <v>66</v>
      </c>
      <c r="F5" s="4" t="s">
        <v>32</v>
      </c>
      <c r="G5" s="4" t="s">
        <v>98</v>
      </c>
      <c r="H5" s="4" t="s">
        <v>99</v>
      </c>
    </row>
    <row r="6" customFormat="false" ht="15" hidden="false" customHeight="false" outlineLevel="0" collapsed="false">
      <c r="A6" s="5" t="s">
        <v>71</v>
      </c>
      <c r="B6" s="5" t="s">
        <v>100</v>
      </c>
      <c r="C6" s="5" t="s">
        <v>70</v>
      </c>
      <c r="D6" s="5" t="s">
        <v>71</v>
      </c>
      <c r="E6" s="5" t="s">
        <v>74</v>
      </c>
      <c r="F6" s="5" t="s">
        <v>73</v>
      </c>
      <c r="G6" s="7" t="n">
        <v>0</v>
      </c>
      <c r="H6" s="5" t="s">
        <v>101</v>
      </c>
    </row>
    <row r="7" customFormat="false" ht="15" hidden="false" customHeight="false" outlineLevel="0" collapsed="false">
      <c r="A7" s="5" t="s">
        <v>71</v>
      </c>
      <c r="B7" s="5" t="s">
        <v>102</v>
      </c>
      <c r="C7" s="5" t="s">
        <v>81</v>
      </c>
      <c r="D7" s="5" t="s">
        <v>82</v>
      </c>
      <c r="E7" s="5" t="s">
        <v>93</v>
      </c>
      <c r="F7" s="5" t="s">
        <v>85</v>
      </c>
      <c r="G7" s="7" t="n">
        <v>3</v>
      </c>
      <c r="H7" s="5" t="s">
        <v>103</v>
      </c>
    </row>
    <row r="8" customFormat="false" ht="15" hidden="false" customHeight="false" outlineLevel="0" collapsed="false">
      <c r="A8" s="5" t="s">
        <v>104</v>
      </c>
      <c r="B8" s="5" t="s">
        <v>105</v>
      </c>
      <c r="C8" s="5" t="s">
        <v>41</v>
      </c>
      <c r="D8" s="5" t="s">
        <v>70</v>
      </c>
      <c r="E8" s="5" t="s">
        <v>86</v>
      </c>
      <c r="F8" s="5" t="s">
        <v>106</v>
      </c>
      <c r="G8" s="7" t="n">
        <v>0</v>
      </c>
      <c r="H8" s="5" t="s">
        <v>107</v>
      </c>
    </row>
  </sheetData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5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8.35" hidden="false" customHeight="false" outlineLevel="0" collapsed="false">
      <c r="A5" s="4" t="s">
        <v>28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113</v>
      </c>
      <c r="G5" s="4" t="s">
        <v>114</v>
      </c>
    </row>
    <row r="6" customFormat="false" ht="15" hidden="false" customHeight="false" outlineLevel="0" collapsed="false">
      <c r="A6" s="5" t="s">
        <v>100</v>
      </c>
      <c r="B6" s="7" t="n">
        <v>14</v>
      </c>
      <c r="C6" s="6" t="s">
        <v>115</v>
      </c>
      <c r="D6" s="5" t="s">
        <v>71</v>
      </c>
      <c r="E6" s="5" t="s">
        <v>74</v>
      </c>
      <c r="F6" s="6" t="s">
        <v>116</v>
      </c>
      <c r="G6" s="5" t="s">
        <v>117</v>
      </c>
    </row>
    <row r="7" customFormat="false" ht="15" hidden="false" customHeight="false" outlineLevel="0" collapsed="false">
      <c r="A7" s="5" t="s">
        <v>102</v>
      </c>
      <c r="B7" s="7" t="n">
        <v>7</v>
      </c>
      <c r="C7" s="6" t="s">
        <v>118</v>
      </c>
      <c r="D7" s="5" t="s">
        <v>119</v>
      </c>
      <c r="E7" s="5" t="s">
        <v>74</v>
      </c>
      <c r="F7" s="6" t="s">
        <v>120</v>
      </c>
      <c r="G7" s="5" t="s">
        <v>121</v>
      </c>
    </row>
    <row r="8" customFormat="false" ht="15" hidden="false" customHeight="false" outlineLevel="0" collapsed="false">
      <c r="A8" s="5" t="s">
        <v>51</v>
      </c>
      <c r="B8" s="7" t="n">
        <v>5</v>
      </c>
      <c r="C8" s="6" t="s">
        <v>122</v>
      </c>
      <c r="D8" s="5" t="s">
        <v>123</v>
      </c>
      <c r="E8" s="5" t="s">
        <v>86</v>
      </c>
      <c r="F8" s="6" t="s">
        <v>124</v>
      </c>
      <c r="G8" s="5" t="s">
        <v>125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E6:E205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44"/>
  </cols>
  <sheetData>
    <row r="1" customFormat="false" ht="25.5" hidden="false" customHeight="true" outlineLevel="0" collapsed="false">
      <c r="A1" s="1" t="s">
        <v>126</v>
      </c>
      <c r="B1" s="1"/>
      <c r="C1" s="1"/>
    </row>
    <row r="2" customFormat="false" ht="15" hidden="false" customHeight="false" outlineLevel="0" collapsed="false">
      <c r="A2" s="2" t="s">
        <v>127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8" t="s">
        <v>66</v>
      </c>
      <c r="B5" s="8" t="s">
        <v>128</v>
      </c>
      <c r="C5" s="8" t="s">
        <v>129</v>
      </c>
    </row>
    <row r="6" customFormat="false" ht="15" hidden="false" customHeight="false" outlineLevel="0" collapsed="false">
      <c r="A6" s="5" t="s">
        <v>130</v>
      </c>
      <c r="B6" s="6" t="s">
        <v>131</v>
      </c>
      <c r="C6" s="6" t="s">
        <v>132</v>
      </c>
    </row>
    <row r="7" customFormat="false" ht="15" hidden="false" customHeight="false" outlineLevel="0" collapsed="false">
      <c r="A7" s="5" t="s">
        <v>86</v>
      </c>
      <c r="B7" s="6" t="s">
        <v>133</v>
      </c>
      <c r="C7" s="6" t="s">
        <v>134</v>
      </c>
    </row>
    <row r="8" customFormat="false" ht="28.35" hidden="false" customHeight="false" outlineLevel="0" collapsed="false">
      <c r="A8" s="5" t="s">
        <v>74</v>
      </c>
      <c r="B8" s="6" t="s">
        <v>135</v>
      </c>
      <c r="C8" s="6" t="s">
        <v>136</v>
      </c>
    </row>
    <row r="9" customFormat="false" ht="28.35" hidden="false" customHeight="false" outlineLevel="0" collapsed="false">
      <c r="A9" s="5" t="s">
        <v>93</v>
      </c>
      <c r="B9" s="6" t="s">
        <v>137</v>
      </c>
      <c r="C9" s="6" t="s">
        <v>138</v>
      </c>
    </row>
    <row r="11" customFormat="false" ht="15" hidden="false" customHeight="false" outlineLevel="0" collapsed="false">
      <c r="A11" s="8" t="s">
        <v>98</v>
      </c>
      <c r="B11" s="8" t="s">
        <v>139</v>
      </c>
    </row>
    <row r="12" customFormat="false" ht="15" hidden="false" customHeight="false" outlineLevel="0" collapsed="false">
      <c r="A12" s="5" t="s">
        <v>140</v>
      </c>
      <c r="B12" s="6" t="s">
        <v>141</v>
      </c>
    </row>
    <row r="13" customFormat="false" ht="15" hidden="false" customHeight="false" outlineLevel="0" collapsed="false">
      <c r="A13" s="5" t="s">
        <v>142</v>
      </c>
      <c r="B13" s="6" t="s">
        <v>143</v>
      </c>
    </row>
    <row r="14" customFormat="false" ht="15" hidden="false" customHeight="false" outlineLevel="0" collapsed="false">
      <c r="A14" s="5" t="s">
        <v>144</v>
      </c>
      <c r="B14" s="6" t="s">
        <v>145</v>
      </c>
    </row>
    <row r="15" customFormat="false" ht="28.35" hidden="false" customHeight="false" outlineLevel="0" collapsed="false">
      <c r="A15" s="5" t="s">
        <v>146</v>
      </c>
      <c r="B15" s="6" t="s">
        <v>147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28.35" hidden="false" customHeight="false" outlineLevel="0" collapsed="false">
      <c r="A5" s="4" t="s">
        <v>28</v>
      </c>
      <c r="B5" s="4" t="s">
        <v>149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33</v>
      </c>
    </row>
    <row r="6" customFormat="false" ht="15" hidden="false" customHeight="false" outlineLevel="0" collapsed="false">
      <c r="A6" s="5" t="s">
        <v>102</v>
      </c>
      <c r="B6" s="5" t="s">
        <v>84</v>
      </c>
      <c r="C6" s="5" t="s">
        <v>156</v>
      </c>
      <c r="D6" s="5" t="s">
        <v>157</v>
      </c>
      <c r="E6" s="7" t="n">
        <v>2</v>
      </c>
      <c r="F6" s="5" t="s">
        <v>158</v>
      </c>
      <c r="G6" s="5"/>
      <c r="H6" s="6"/>
      <c r="I6" s="5" t="s">
        <v>39</v>
      </c>
    </row>
    <row r="7" customFormat="false" ht="15" hidden="false" customHeight="false" outlineLevel="0" collapsed="false">
      <c r="A7" s="5" t="s">
        <v>100</v>
      </c>
      <c r="B7" s="5" t="s">
        <v>59</v>
      </c>
      <c r="C7" s="5" t="s">
        <v>159</v>
      </c>
      <c r="D7" s="5" t="s">
        <v>160</v>
      </c>
      <c r="E7" s="7" t="n">
        <v>3</v>
      </c>
      <c r="F7" s="5" t="s">
        <v>161</v>
      </c>
      <c r="G7" s="5" t="s">
        <v>161</v>
      </c>
      <c r="H7" s="6" t="s">
        <v>162</v>
      </c>
      <c r="I7" s="5" t="s">
        <v>61</v>
      </c>
    </row>
  </sheetData>
  <mergeCells count="3">
    <mergeCell ref="A1:I1"/>
    <mergeCell ref="A2:I2"/>
    <mergeCell ref="A3:I3"/>
  </mergeCells>
  <dataValidations count="1">
    <dataValidation allowBlank="true" errorStyle="stop" operator="between" showDropDown="false" showErrorMessage="false" showInputMessage="false" sqref="I6:I205" type="list">
      <formula1>"Open,In Progress,At Risk,Blocked,Closed"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163</v>
      </c>
      <c r="B1" s="1"/>
    </row>
    <row r="2" customFormat="false" ht="15" hidden="false" customHeight="false" outlineLevel="0" collapsed="false">
      <c r="A2" s="2" t="s">
        <v>164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9" t="s">
        <v>165</v>
      </c>
      <c r="B5" s="9" t="s">
        <v>166</v>
      </c>
    </row>
    <row r="6" customFormat="false" ht="15" hidden="false" customHeight="false" outlineLevel="0" collapsed="false">
      <c r="A6" s="5" t="s">
        <v>167</v>
      </c>
      <c r="B6" s="5" t="n">
        <f aca="false">COUNTA('02 CrossTeam Dependency Registe'!A6:A205)</f>
        <v>4</v>
      </c>
    </row>
    <row r="7" customFormat="false" ht="15" hidden="false" customHeight="false" outlineLevel="0" collapsed="false">
      <c r="A7" s="5" t="s">
        <v>39</v>
      </c>
      <c r="B7" s="5" t="n">
        <f aca="false">COUNTIF('02 CrossTeam Dependency Registe'!J6:J205,"Open")</f>
        <v>2</v>
      </c>
    </row>
    <row r="8" customFormat="false" ht="15" hidden="false" customHeight="false" outlineLevel="0" collapsed="false">
      <c r="A8" s="5" t="s">
        <v>45</v>
      </c>
      <c r="B8" s="5" t="n">
        <f aca="false">COUNTIF('02 CrossTeam Dependency Registe'!J6:J205,"In Progress")</f>
        <v>1</v>
      </c>
    </row>
    <row r="9" customFormat="false" ht="15" hidden="false" customHeight="false" outlineLevel="0" collapsed="false">
      <c r="A9" s="5" t="s">
        <v>55</v>
      </c>
      <c r="B9" s="5" t="n">
        <f aca="false">COUNTIF('02 CrossTeam Dependency Registe'!J6:J205,"At Risk")</f>
        <v>1</v>
      </c>
    </row>
    <row r="10" customFormat="false" ht="15" hidden="false" customHeight="false" outlineLevel="0" collapsed="false">
      <c r="A10" s="5" t="s">
        <v>168</v>
      </c>
      <c r="B10" s="5" t="n">
        <f aca="false">COUNTIF('02 CrossTeam Dependency Registe'!J6:J205,"Blocked")</f>
        <v>0</v>
      </c>
    </row>
    <row r="11" customFormat="false" ht="15" hidden="false" customHeight="false" outlineLevel="0" collapsed="false">
      <c r="A11" s="5" t="s">
        <v>169</v>
      </c>
      <c r="B11" s="5" t="n">
        <f aca="false">COUNTIFS('02 CrossTeam Dependency Registe'!G6:G205,"Critical",'02 CrossTeam Dependency Registe'!J6:J205,"&lt;&gt;Closed")</f>
        <v>1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