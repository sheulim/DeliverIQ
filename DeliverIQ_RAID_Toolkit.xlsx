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Simple RAID Log" sheetId="2" state="visible" r:id="rId4"/>
    <sheet name="02 Scored RAID Register" sheetId="3" state="visible" r:id="rId5"/>
    <sheet name="03 Executive RAID Summary" sheetId="4" state="visible" r:id="rId6"/>
    <sheet name="04 Technical Migration RAID" sheetId="5" state="visible" r:id="rId7"/>
    <sheet name="05 RAID Scoring Guide" sheetId="6" state="visible" r:id="rId8"/>
    <sheet name="06 Assumptions Log" sheetId="7" state="visible" r:id="rId9"/>
    <sheet name="07 RAID Trend Track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<sst xmlns="http://schemas.openxmlformats.org/spreadsheetml/2006/main" count="211" uniqueCount="150">
  <si>
    <t xml:space="preserve">RAID Toolkit</t>
  </si>
  <si>
    <t xml:space="preserve">RAID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</si>
  <si>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</si>
  <si>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</si>
  <si>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</si>
  <si>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</si>
  <si>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Simple RAID Log</t>
  </si>
  <si>
    <t xml:space="preserve">Starter</t>
  </si>
  <si>
    <t xml:space="preserve">Single flat list of Risks, Assumptions, Issues and Dependencies.</t>
  </si>
  <si>
    <t xml:space="preserve">02 Scored RAID Register</t>
  </si>
  <si>
    <t xml:space="preserve">Professional / AI-ready</t>
  </si>
  <si>
    <t xml:space="preserve">Adds probability x impact scoring and RAG to prioritise items.</t>
  </si>
  <si>
    <t xml:space="preserve">03 Executive RAID Summary</t>
  </si>
  <si>
    <t xml:space="preserve">Executive</t>
  </si>
  <si>
    <t xml:space="preserve">Top items only, framed as business impact for leadership.</t>
  </si>
  <si>
    <t xml:space="preserve">04 Technical Migration RAID</t>
  </si>
  <si>
    <t xml:space="preserve">Specialist</t>
  </si>
  <si>
    <t xml:space="preserve">Domain-specific RAID for technical / data migration risk.</t>
  </si>
  <si>
    <t xml:space="preserve">05 RAID Scoring Guide</t>
  </si>
  <si>
    <t xml:space="preserve">Reference</t>
  </si>
  <si>
    <t xml:space="preserve">Probability/impact scale, scoring matrix, and RAID definitions.</t>
  </si>
  <si>
    <t xml:space="preserve">06 Assumptions Log</t>
  </si>
  <si>
    <t xml:space="preserve">Deep-dive</t>
  </si>
  <si>
    <t xml:space="preserve">Dedicated tracker for assumptions - the most-neglected RAID category.</t>
  </si>
  <si>
    <t xml:space="preserve">07 RAID Trend Tracker</t>
  </si>
  <si>
    <t xml:space="preserve">Analysis</t>
  </si>
  <si>
    <t xml:space="preserve">Week-over-week counts by type and RAG, calculated by formula.</t>
  </si>
  <si>
    <t xml:space="preserve">Simple RAID Log</t>
  </si>
  <si>
    <t xml:space="preserve">RAID | DeliverIQ Open PM Toolkit</t>
  </si>
  <si>
    <t xml:space="preserve">Type</t>
  </si>
  <si>
    <t xml:space="preserve">Title</t>
  </si>
  <si>
    <t xml:space="preserve">Owner</t>
  </si>
  <si>
    <t xml:space="preserve">Status</t>
  </si>
  <si>
    <t xml:space="preserve">Due Date</t>
  </si>
  <si>
    <t xml:space="preserve">Risk</t>
  </si>
  <si>
    <t xml:space="preserve">Example delivery risk</t>
  </si>
  <si>
    <t xml:space="preserve">Project Manager</t>
  </si>
  <si>
    <t xml:space="preserve">Open</t>
  </si>
  <si>
    <t xml:space="preserve">2026-10-01</t>
  </si>
  <si>
    <t xml:space="preserve">Assumption</t>
  </si>
  <si>
    <t xml:space="preserve">Test data will mirror production volumes</t>
  </si>
  <si>
    <t xml:space="preserve">QA Lead</t>
  </si>
  <si>
    <t xml:space="preserve">Issue</t>
  </si>
  <si>
    <t xml:space="preserve">UAT environment unavailable for two days</t>
  </si>
  <si>
    <t xml:space="preserve">Infra Lead</t>
  </si>
  <si>
    <t xml:space="preserve">In Progress</t>
  </si>
  <si>
    <t xml:space="preserve">2026-09-18</t>
  </si>
  <si>
    <t xml:space="preserve">Dependency</t>
  </si>
  <si>
    <t xml:space="preserve">Vendor sign-off on integration spec</t>
  </si>
  <si>
    <t xml:space="preserve">Delivery Lead</t>
  </si>
  <si>
    <t xml:space="preserve">2026-09-25</t>
  </si>
  <si>
    <t xml:space="preserve">Scored RAID Register</t>
  </si>
  <si>
    <t xml:space="preserve">Probability (1-5)</t>
  </si>
  <si>
    <t xml:space="preserve">Impact (1-5)</t>
  </si>
  <si>
    <t xml:space="preserve">Score</t>
  </si>
  <si>
    <t xml:space="preserve">RAG</t>
  </si>
  <si>
    <t xml:space="preserve">Mitigation</t>
  </si>
  <si>
    <t xml:space="preserve">Target Date</t>
  </si>
  <si>
    <t xml:space="preserve">Escalation</t>
  </si>
  <si>
    <t xml:space="preserve">Source extract delay</t>
  </si>
  <si>
    <t xml:space="preserve">Amber</t>
  </si>
  <si>
    <t xml:space="preserve">Data Lead</t>
  </si>
  <si>
    <t xml:space="preserve">Run extract rehearsal</t>
  </si>
  <si>
    <t xml:space="preserve">2026-09-20</t>
  </si>
  <si>
    <t xml:space="preserve">Programme</t>
  </si>
  <si>
    <t xml:space="preserve">Key resource attrition</t>
  </si>
  <si>
    <t xml:space="preserve">PM</t>
  </si>
  <si>
    <t xml:space="preserve">Cross-train backup resource</t>
  </si>
  <si>
    <t xml:space="preserve">Project</t>
  </si>
  <si>
    <t xml:space="preserve">Reconciliation mismatch in test cycle 2</t>
  </si>
  <si>
    <t xml:space="preserve">Red</t>
  </si>
  <si>
    <t xml:space="preserve">Root-cause and re-run</t>
  </si>
  <si>
    <t xml:space="preserve">2026-09-16</t>
  </si>
  <si>
    <t xml:space="preserve">Downstream systems accept batch format unchanged</t>
  </si>
  <si>
    <t xml:space="preserve">Green</t>
  </si>
  <si>
    <t xml:space="preserve">Tech Lead</t>
  </si>
  <si>
    <t xml:space="preserve">Confirm with downstream owner</t>
  </si>
  <si>
    <t xml:space="preserve">2026-09-22</t>
  </si>
  <si>
    <t xml:space="preserve">Executive RAID Summary</t>
  </si>
  <si>
    <t xml:space="preserve">Top Item</t>
  </si>
  <si>
    <t xml:space="preserve">Business Impact</t>
  </si>
  <si>
    <t xml:space="preserve">Trend</t>
  </si>
  <si>
    <t xml:space="preserve">Decision Needed</t>
  </si>
  <si>
    <t xml:space="preserve">Target Resolution</t>
  </si>
  <si>
    <t xml:space="preserve">UAT reconciliation mismatch</t>
  </si>
  <si>
    <t xml:space="preserve">Go-live exposure</t>
  </si>
  <si>
    <t xml:space="preserve">Deteriorating</t>
  </si>
  <si>
    <t xml:space="preserve">BI Lead</t>
  </si>
  <si>
    <t xml:space="preserve">Confirm contingency</t>
  </si>
  <si>
    <t xml:space="preserve">Key resource attrition risk</t>
  </si>
  <si>
    <t xml:space="preserve">Delivery capacity</t>
  </si>
  <si>
    <t xml:space="preserve">Stable</t>
  </si>
  <si>
    <t xml:space="preserve">Approve backfill budget</t>
  </si>
  <si>
    <t xml:space="preserve">Technical Migration RAID</t>
  </si>
  <si>
    <t xml:space="preserve">Domain</t>
  </si>
  <si>
    <t xml:space="preserve">Risk/Issue</t>
  </si>
  <si>
    <t xml:space="preserve">Data/System</t>
  </si>
  <si>
    <t xml:space="preserve">Environment</t>
  </si>
  <si>
    <t xml:space="preserve">Probability</t>
  </si>
  <si>
    <t xml:space="preserve">Impact</t>
  </si>
  <si>
    <t xml:space="preserve">Fallback</t>
  </si>
  <si>
    <t xml:space="preserve">Data</t>
  </si>
  <si>
    <t xml:space="preserve">Finance feed</t>
  </si>
  <si>
    <t xml:space="preserve">UAT</t>
  </si>
  <si>
    <t xml:space="preserve">Reconcile sample early</t>
  </si>
  <si>
    <t xml:space="preserve">Rollback extract</t>
  </si>
  <si>
    <t xml:space="preserve">Infrastructure</t>
  </si>
  <si>
    <t xml:space="preserve">Cutover environment</t>
  </si>
  <si>
    <t xml:space="preserve">Staging</t>
  </si>
  <si>
    <t xml:space="preserve">Add capacity buffer</t>
  </si>
  <si>
    <t xml:space="preserve">Extend window</t>
  </si>
  <si>
    <t xml:space="preserve">RAID Scoring &amp; Definitions Guide</t>
  </si>
  <si>
    <t xml:space="preserve">RAID | Reference Guide - probability/impact scale and RAID definitions</t>
  </si>
  <si>
    <t xml:space="preserve">RAID Element</t>
  </si>
  <si>
    <t xml:space="preserve">Definition</t>
  </si>
  <si>
    <t xml:space="preserve">An uncertain future event that, if it occurs, would affect objectives. Always scored probability x impact.</t>
  </si>
  <si>
    <t xml:space="preserve">Something believed true for planning purposes but not yet confirmed. Must be validated or it becomes a risk.</t>
  </si>
  <si>
    <t xml:space="preserve">A risk that has materialised, or a current problem with no uncertainty attached. Needs immediate action, not scoring.</t>
  </si>
  <si>
    <t xml:space="preserve">A piece of work, decision or resource owned outside the project's direct control, needed to proceed.</t>
  </si>
  <si>
    <t xml:space="preserve">Probability / Impact Meaning</t>
  </si>
  <si>
    <t xml:space="preserve">Rare / Negligible</t>
  </si>
  <si>
    <t xml:space="preserve">Unlikely / Minor</t>
  </si>
  <si>
    <t xml:space="preserve">Possible / Moderate</t>
  </si>
  <si>
    <t xml:space="preserve">Likely / Major</t>
  </si>
  <si>
    <t xml:space="preserve">Almost Certain / Severe</t>
  </si>
  <si>
    <t xml:space="preserve">Score Range</t>
  </si>
  <si>
    <t xml:space="preserve">1-6</t>
  </si>
  <si>
    <t xml:space="preserve">7-14</t>
  </si>
  <si>
    <t xml:space="preserve">15-25</t>
  </si>
  <si>
    <t xml:space="preserve">Assumptions Log</t>
  </si>
  <si>
    <t xml:space="preserve">Rationale</t>
  </si>
  <si>
    <t xml:space="preserve">Validation Method</t>
  </si>
  <si>
    <t xml:space="preserve">Validate By</t>
  </si>
  <si>
    <t xml:space="preserve">Impact if Invalid</t>
  </si>
  <si>
    <t xml:space="preserve">Test data mirrors production volumes</t>
  </si>
  <si>
    <t xml:space="preserve">Needed for accurate performance testing</t>
  </si>
  <si>
    <t xml:space="preserve">Compare row counts to prod extract</t>
  </si>
  <si>
    <t xml:space="preserve">Performance results unreliable</t>
  </si>
  <si>
    <t xml:space="preserve">No change request raised by downstream owner</t>
  </si>
  <si>
    <t xml:space="preserve">Confirm in writing with downstream team</t>
  </si>
  <si>
    <t xml:space="preserve">Rework of interface mapping</t>
  </si>
  <si>
    <t xml:space="preserve">RAID Trend Tracker</t>
  </si>
  <si>
    <t xml:space="preserve">RAID | Live counts calculated from the Scored RAID Register</t>
  </si>
  <si>
    <t xml:space="preserve">Week Of</t>
  </si>
  <si>
    <t xml:space="preserve">Open Risks</t>
  </si>
  <si>
    <t xml:space="preserve">Open Issues</t>
  </si>
  <si>
    <t xml:space="preserve">Red Items</t>
  </si>
  <si>
    <t xml:space="preserve">Amber Items</t>
  </si>
  <si>
    <t xml:space="preserve">Green Items</t>
  </si>
  <si>
    <t xml:space="preserve">2026-09-08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</si>
</sst>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B45309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23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5" t="s">
        <v>26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25.5" hidden="false" customHeight="true" outlineLevel="0" collapsed="false">
      <c r="A1" s="1" t="s">
        <v>27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</row>
    <row r="6" customFormat="false" ht="15" hidden="false" customHeight="false" outlineLevel="0" collapsed="false">
      <c r="A6" s="5" t="s">
        <v>34</v>
      </c>
      <c r="B6" s="6" t="s">
        <v>35</v>
      </c>
      <c r="C6" s="5" t="s">
        <v>36</v>
      </c>
      <c r="D6" s="5" t="s">
        <v>37</v>
      </c>
      <c r="E6" s="5" t="s">
        <v>38</v>
      </c>
    </row>
    <row r="7" customFormat="false" ht="15" hidden="false" customHeight="false" outlineLevel="0" collapsed="false">
      <c r="A7" s="5" t="s">
        <v>39</v>
      </c>
      <c r="B7" s="6" t="s">
        <v>40</v>
      </c>
      <c r="C7" s="5" t="s">
        <v>41</v>
      </c>
      <c r="D7" s="5" t="s">
        <v>37</v>
      </c>
      <c r="E7" s="5"/>
    </row>
    <row r="8" customFormat="false" ht="15" hidden="false" customHeight="false" outlineLevel="0" collapsed="false">
      <c r="A8" s="5" t="s">
        <v>42</v>
      </c>
      <c r="B8" s="6" t="s">
        <v>43</v>
      </c>
      <c r="C8" s="5" t="s">
        <v>44</v>
      </c>
      <c r="D8" s="5" t="s">
        <v>45</v>
      </c>
      <c r="E8" s="5" t="s">
        <v>46</v>
      </c>
    </row>
    <row r="9" customFormat="false" ht="15" hidden="false" customHeight="false" outlineLevel="0" collapsed="false">
      <c r="A9" s="5" t="s">
        <v>47</v>
      </c>
      <c r="B9" s="6" t="s">
        <v>48</v>
      </c>
      <c r="C9" s="5" t="s">
        <v>49</v>
      </c>
      <c r="D9" s="5" t="s">
        <v>37</v>
      </c>
      <c r="E9" s="5" t="s">
        <v>50</v>
      </c>
    </row>
  </sheetData>
  <mergeCells count="3">
    <mergeCell ref="A1:E1"/>
    <mergeCell ref="A2:E2"/>
    <mergeCell ref="A3:E3"/>
  </mergeCells>
  <dataValidations count="2">
    <dataValidation allowBlank="true" errorStyle="stop" operator="between" showDropDown="false" showErrorMessage="false" showInputMessage="false" sqref="A6:A205" type="list">
      <formula1>"Risk,Assumption,Issue,Dependency"</formula1>
      <formula2>0</formula2>
    </dataValidation>
    <dataValidation allowBlank="true" errorStyle="stop" operator="between" showDropDown="false" showErrorMessage="false" showInputMessage="false" sqref="D6:D205" type="list">
      <formula1>"Open,In Progress,Mitigated,Closed,Accepted"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28"/>
    <col collapsed="false" customWidth="true" hidden="false" outlineLevel="0" max="10" min="9" style="0" width="14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8.35" hidden="false" customHeight="false" outlineLevel="0" collapsed="false">
      <c r="A5" s="4" t="s">
        <v>29</v>
      </c>
      <c r="B5" s="4" t="s">
        <v>30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31</v>
      </c>
      <c r="H5" s="4" t="s">
        <v>56</v>
      </c>
      <c r="I5" s="4" t="s">
        <v>57</v>
      </c>
      <c r="J5" s="4" t="s">
        <v>58</v>
      </c>
    </row>
    <row r="6" customFormat="false" ht="15" hidden="false" customHeight="false" outlineLevel="0" collapsed="false">
      <c r="A6" s="5" t="s">
        <v>34</v>
      </c>
      <c r="B6" s="6" t="s">
        <v>59</v>
      </c>
      <c r="C6" s="7" t="n">
        <v>3</v>
      </c>
      <c r="D6" s="7" t="n">
        <v>4</v>
      </c>
      <c r="E6" s="7" t="n">
        <f aca="false">C6*D6</f>
        <v>12</v>
      </c>
      <c r="F6" s="5" t="s">
        <v>60</v>
      </c>
      <c r="G6" s="5" t="s">
        <v>61</v>
      </c>
      <c r="H6" s="6" t="s">
        <v>62</v>
      </c>
      <c r="I6" s="5" t="s">
        <v>63</v>
      </c>
      <c r="J6" s="5" t="s">
        <v>64</v>
      </c>
    </row>
    <row r="7" customFormat="false" ht="15" hidden="false" customHeight="false" outlineLevel="0" collapsed="false">
      <c r="A7" s="5" t="s">
        <v>34</v>
      </c>
      <c r="B7" s="6" t="s">
        <v>65</v>
      </c>
      <c r="C7" s="7" t="n">
        <v>2</v>
      </c>
      <c r="D7" s="7" t="n">
        <v>5</v>
      </c>
      <c r="E7" s="7" t="n">
        <f aca="false">C7*D7</f>
        <v>10</v>
      </c>
      <c r="F7" s="5" t="s">
        <v>60</v>
      </c>
      <c r="G7" s="5" t="s">
        <v>66</v>
      </c>
      <c r="H7" s="6" t="s">
        <v>67</v>
      </c>
      <c r="I7" s="5" t="s">
        <v>38</v>
      </c>
      <c r="J7" s="5" t="s">
        <v>68</v>
      </c>
    </row>
    <row r="8" customFormat="false" ht="28.35" hidden="false" customHeight="false" outlineLevel="0" collapsed="false">
      <c r="A8" s="5" t="s">
        <v>42</v>
      </c>
      <c r="B8" s="6" t="s">
        <v>69</v>
      </c>
      <c r="C8" s="7" t="n">
        <v>5</v>
      </c>
      <c r="D8" s="7" t="n">
        <v>4</v>
      </c>
      <c r="E8" s="7" t="n">
        <f aca="false">C8*D8</f>
        <v>20</v>
      </c>
      <c r="F8" s="5" t="s">
        <v>70</v>
      </c>
      <c r="G8" s="5" t="s">
        <v>61</v>
      </c>
      <c r="H8" s="6" t="s">
        <v>71</v>
      </c>
      <c r="I8" s="5" t="s">
        <v>72</v>
      </c>
      <c r="J8" s="5" t="s">
        <v>64</v>
      </c>
    </row>
    <row r="9" customFormat="false" ht="28.35" hidden="false" customHeight="false" outlineLevel="0" collapsed="false">
      <c r="A9" s="5" t="s">
        <v>39</v>
      </c>
      <c r="B9" s="6" t="s">
        <v>73</v>
      </c>
      <c r="C9" s="7" t="n">
        <v>2</v>
      </c>
      <c r="D9" s="7" t="n">
        <v>3</v>
      </c>
      <c r="E9" s="7" t="n">
        <f aca="false">C9*D9</f>
        <v>6</v>
      </c>
      <c r="F9" s="5" t="s">
        <v>74</v>
      </c>
      <c r="G9" s="5" t="s">
        <v>75</v>
      </c>
      <c r="H9" s="6" t="s">
        <v>76</v>
      </c>
      <c r="I9" s="5" t="s">
        <v>77</v>
      </c>
      <c r="J9" s="5" t="s">
        <v>68</v>
      </c>
    </row>
    <row r="10" customFormat="false" ht="15" hidden="false" customHeight="false" outlineLevel="0" collapsed="false">
      <c r="A10" s="5"/>
      <c r="B10" s="6"/>
      <c r="C10" s="7"/>
      <c r="D10" s="7"/>
      <c r="E10" s="7" t="str">
        <f aca="false">IF(AND(C10="",D10=""),"",C10*D10)</f>
        <v/>
      </c>
      <c r="F10" s="5" t="s">
        <v>74</v>
      </c>
      <c r="G10" s="5"/>
      <c r="H10" s="6"/>
      <c r="I10" s="5"/>
      <c r="J10" s="5"/>
    </row>
    <row r="11" customFormat="false" ht="15" hidden="false" customHeight="false" outlineLevel="0" collapsed="false">
      <c r="A11" s="5"/>
      <c r="B11" s="6"/>
      <c r="C11" s="7"/>
      <c r="D11" s="7"/>
      <c r="E11" s="7" t="str">
        <f aca="false">IF(AND(C11="",D11=""),"",C11*D11)</f>
        <v/>
      </c>
      <c r="F11" s="5" t="s">
        <v>74</v>
      </c>
      <c r="G11" s="5"/>
      <c r="H11" s="6"/>
      <c r="I11" s="5"/>
      <c r="J11" s="5"/>
    </row>
    <row r="12" customFormat="false" ht="15" hidden="false" customHeight="false" outlineLevel="0" collapsed="false">
      <c r="A12" s="5"/>
      <c r="B12" s="6"/>
      <c r="C12" s="7"/>
      <c r="D12" s="7"/>
      <c r="E12" s="7" t="str">
        <f aca="false">IF(AND(C12="",D12=""),"",C12*D12)</f>
        <v/>
      </c>
      <c r="F12" s="5" t="s">
        <v>74</v>
      </c>
      <c r="G12" s="5"/>
      <c r="H12" s="6"/>
      <c r="I12" s="5"/>
      <c r="J12" s="5"/>
    </row>
    <row r="13" customFormat="false" ht="15" hidden="false" customHeight="false" outlineLevel="0" collapsed="false">
      <c r="A13" s="5"/>
      <c r="B13" s="6"/>
      <c r="C13" s="7"/>
      <c r="D13" s="7"/>
      <c r="E13" s="7" t="str">
        <f aca="false">IF(AND(C13="",D13=""),"",C13*D13)</f>
        <v/>
      </c>
      <c r="F13" s="5" t="s">
        <v>74</v>
      </c>
      <c r="G13" s="5"/>
      <c r="H13" s="6"/>
      <c r="I13" s="5"/>
      <c r="J13" s="5"/>
    </row>
    <row r="14" customFormat="false" ht="15" hidden="false" customHeight="false" outlineLevel="0" collapsed="false">
      <c r="A14" s="5"/>
      <c r="B14" s="6"/>
      <c r="C14" s="7"/>
      <c r="D14" s="7"/>
      <c r="E14" s="7" t="str">
        <f aca="false">IF(AND(C14="",D14=""),"",C14*D14)</f>
        <v/>
      </c>
      <c r="F14" s="5" t="s">
        <v>74</v>
      </c>
      <c r="G14" s="5"/>
      <c r="H14" s="6"/>
      <c r="I14" s="5"/>
      <c r="J14" s="5"/>
    </row>
    <row r="15" customFormat="false" ht="15" hidden="false" customHeight="false" outlineLevel="0" collapsed="false">
      <c r="A15" s="5"/>
      <c r="B15" s="6"/>
      <c r="C15" s="7"/>
      <c r="D15" s="7"/>
      <c r="E15" s="7" t="str">
        <f aca="false">IF(AND(C15="",D15=""),"",C15*D15)</f>
        <v/>
      </c>
      <c r="F15" s="5" t="s">
        <v>74</v>
      </c>
      <c r="G15" s="5"/>
      <c r="H15" s="6"/>
      <c r="I15" s="5"/>
      <c r="J15" s="5"/>
    </row>
  </sheetData>
  <mergeCells count="3">
    <mergeCell ref="A1:J1"/>
    <mergeCell ref="A2:J2"/>
    <mergeCell ref="A3:J3"/>
  </mergeCells>
  <dataValidations count="2">
    <dataValidation allowBlank="true" errorStyle="stop" operator="between" showDropDown="false" showErrorMessage="false" showInputMessage="false" sqref="A6:A205" type="list">
      <formula1>"Risk,Assumption,Issue,Dependency"</formula1>
      <formula2>0</formula2>
    </dataValidation>
    <dataValidation allowBlank="true" errorStyle="stop" operator="between" showDropDown="false" showErrorMessage="false" showInputMessage="false" sqref="F6:F205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79</v>
      </c>
      <c r="B5" s="4" t="s">
        <v>80</v>
      </c>
      <c r="C5" s="4" t="s">
        <v>81</v>
      </c>
      <c r="D5" s="4" t="s">
        <v>31</v>
      </c>
      <c r="E5" s="4" t="s">
        <v>82</v>
      </c>
      <c r="F5" s="4" t="s">
        <v>83</v>
      </c>
    </row>
    <row r="6" customFormat="false" ht="15" hidden="false" customHeight="false" outlineLevel="0" collapsed="false">
      <c r="A6" s="5" t="s">
        <v>84</v>
      </c>
      <c r="B6" s="5" t="s">
        <v>85</v>
      </c>
      <c r="C6" s="5" t="s">
        <v>86</v>
      </c>
      <c r="D6" s="5" t="s">
        <v>87</v>
      </c>
      <c r="E6" s="6" t="s">
        <v>88</v>
      </c>
      <c r="F6" s="5" t="s">
        <v>63</v>
      </c>
    </row>
    <row r="7" customFormat="false" ht="15" hidden="false" customHeight="false" outlineLevel="0" collapsed="false">
      <c r="A7" s="5" t="s">
        <v>89</v>
      </c>
      <c r="B7" s="5" t="s">
        <v>90</v>
      </c>
      <c r="C7" s="5" t="s">
        <v>91</v>
      </c>
      <c r="D7" s="5" t="s">
        <v>66</v>
      </c>
      <c r="E7" s="6" t="s">
        <v>92</v>
      </c>
      <c r="F7" s="5" t="s">
        <v>50</v>
      </c>
    </row>
  </sheetData>
  <mergeCells count="3">
    <mergeCell ref="A1:F1"/>
    <mergeCell ref="A2:F2"/>
    <mergeCell ref="A3:F3"/>
  </mergeCells>
  <dataValidations count="1">
    <dataValidation allowBlank="true" errorStyle="stop" operator="between" showDropDown="false" showErrorMessage="false" showInputMessage="false" sqref="C6:C205" type="list">
      <formula1>"Improving,Stable,Deteriorating"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26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94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  <c r="G5" s="4" t="s">
        <v>54</v>
      </c>
      <c r="H5" s="4" t="s">
        <v>56</v>
      </c>
      <c r="I5" s="4" t="s">
        <v>100</v>
      </c>
      <c r="J5" s="4" t="s">
        <v>31</v>
      </c>
    </row>
    <row r="6" customFormat="false" ht="15" hidden="false" customHeight="false" outlineLevel="0" collapsed="false">
      <c r="A6" s="5" t="s">
        <v>101</v>
      </c>
      <c r="B6" s="5" t="s">
        <v>34</v>
      </c>
      <c r="C6" s="5" t="s">
        <v>102</v>
      </c>
      <c r="D6" s="5" t="s">
        <v>103</v>
      </c>
      <c r="E6" s="7" t="n">
        <v>4</v>
      </c>
      <c r="F6" s="7" t="n">
        <v>5</v>
      </c>
      <c r="G6" s="7" t="n">
        <f aca="false">E6*F6</f>
        <v>20</v>
      </c>
      <c r="H6" s="6" t="s">
        <v>104</v>
      </c>
      <c r="I6" s="5" t="s">
        <v>105</v>
      </c>
      <c r="J6" s="5" t="s">
        <v>61</v>
      </c>
    </row>
    <row r="7" customFormat="false" ht="15" hidden="false" customHeight="false" outlineLevel="0" collapsed="false">
      <c r="A7" s="5" t="s">
        <v>106</v>
      </c>
      <c r="B7" s="5" t="s">
        <v>42</v>
      </c>
      <c r="C7" s="5" t="s">
        <v>107</v>
      </c>
      <c r="D7" s="5" t="s">
        <v>108</v>
      </c>
      <c r="E7" s="7" t="n">
        <v>3</v>
      </c>
      <c r="F7" s="7" t="n">
        <v>4</v>
      </c>
      <c r="G7" s="7" t="n">
        <f aca="false">E7*F7</f>
        <v>12</v>
      </c>
      <c r="H7" s="6" t="s">
        <v>109</v>
      </c>
      <c r="I7" s="5" t="s">
        <v>110</v>
      </c>
      <c r="J7" s="5" t="s">
        <v>44</v>
      </c>
    </row>
    <row r="8" customFormat="false" ht="15" hidden="false" customHeight="false" outlineLevel="0" collapsed="false">
      <c r="A8" s="5"/>
      <c r="B8" s="5"/>
      <c r="C8" s="5"/>
      <c r="D8" s="5"/>
      <c r="E8" s="7"/>
      <c r="F8" s="7"/>
      <c r="G8" s="7" t="str">
        <f aca="false">IF(AND(E8="",F8=""),"",E8*F8)</f>
        <v/>
      </c>
      <c r="H8" s="6"/>
      <c r="I8" s="5"/>
      <c r="J8" s="5"/>
    </row>
    <row r="9" customFormat="false" ht="15" hidden="false" customHeight="false" outlineLevel="0" collapsed="false">
      <c r="A9" s="5"/>
      <c r="B9" s="5"/>
      <c r="C9" s="5"/>
      <c r="D9" s="5"/>
      <c r="E9" s="7"/>
      <c r="F9" s="7"/>
      <c r="G9" s="7" t="str">
        <f aca="false">IF(AND(E9="",F9=""),"",E9*F9)</f>
        <v/>
      </c>
      <c r="H9" s="6"/>
      <c r="I9" s="5"/>
      <c r="J9" s="5"/>
    </row>
    <row r="10" customFormat="false" ht="15" hidden="false" customHeight="false" outlineLevel="0" collapsed="false">
      <c r="A10" s="5"/>
      <c r="B10" s="5"/>
      <c r="C10" s="5"/>
      <c r="D10" s="5"/>
      <c r="E10" s="7"/>
      <c r="F10" s="7"/>
      <c r="G10" s="7" t="str">
        <f aca="false">IF(AND(E10="",F10=""),"",E10*F10)</f>
        <v/>
      </c>
      <c r="H10" s="6"/>
      <c r="I10" s="5"/>
      <c r="J10" s="5"/>
    </row>
    <row r="11" customFormat="false" ht="15" hidden="false" customHeight="false" outlineLevel="0" collapsed="false">
      <c r="A11" s="5"/>
      <c r="B11" s="5"/>
      <c r="C11" s="5"/>
      <c r="D11" s="5"/>
      <c r="E11" s="7"/>
      <c r="F11" s="7"/>
      <c r="G11" s="7" t="str">
        <f aca="false">IF(AND(E11="",F11=""),"",E11*F11)</f>
        <v/>
      </c>
      <c r="H11" s="6"/>
      <c r="I11" s="5"/>
      <c r="J11" s="5"/>
    </row>
    <row r="12" customFormat="false" ht="15" hidden="false" customHeight="false" outlineLevel="0" collapsed="false">
      <c r="A12" s="5"/>
      <c r="B12" s="5"/>
      <c r="C12" s="5"/>
      <c r="D12" s="5"/>
      <c r="E12" s="7"/>
      <c r="F12" s="7"/>
      <c r="G12" s="7" t="str">
        <f aca="false">IF(AND(E12="",F12=""),"",E12*F12)</f>
        <v/>
      </c>
      <c r="H12" s="6"/>
      <c r="I12" s="5"/>
      <c r="J12" s="5"/>
    </row>
    <row r="13" customFormat="false" ht="15" hidden="false" customHeight="false" outlineLevel="0" collapsed="false">
      <c r="A13" s="5"/>
      <c r="B13" s="5"/>
      <c r="C13" s="5"/>
      <c r="D13" s="5"/>
      <c r="E13" s="7"/>
      <c r="F13" s="7"/>
      <c r="G13" s="7" t="str">
        <f aca="false">IF(AND(E13="",F13=""),"",E13*F13)</f>
        <v/>
      </c>
      <c r="H13" s="6"/>
      <c r="I13" s="5"/>
      <c r="J13" s="5"/>
    </row>
  </sheetData>
  <mergeCells count="3">
    <mergeCell ref="A1:J1"/>
    <mergeCell ref="A2:J2"/>
    <mergeCell ref="A3:J3"/>
  </mergeCells>
  <dataValidations count="1">
    <dataValidation allowBlank="true" errorStyle="stop" operator="between" showDropDown="false" showErrorMessage="false" showInputMessage="false" sqref="B6:B205" type="list">
      <formula1>"Risk,Assumption,Issue,Dependency"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25.5" hidden="false" customHeight="true" outlineLevel="0" collapsed="false">
      <c r="A1" s="1" t="s">
        <v>111</v>
      </c>
      <c r="B1" s="1"/>
    </row>
    <row r="2" customFormat="false" ht="15" hidden="false" customHeight="false" outlineLevel="0" collapsed="false">
      <c r="A2" s="2" t="s">
        <v>112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8" t="s">
        <v>113</v>
      </c>
      <c r="B5" s="8" t="s">
        <v>114</v>
      </c>
    </row>
    <row r="6" customFormat="false" ht="122.35" hidden="false" customHeight="false" outlineLevel="0" collapsed="false">
      <c r="A6" s="5" t="s">
        <v>34</v>
      </c>
      <c r="B6" s="6" t="s">
        <v>115</v>
      </c>
    </row>
    <row r="7" customFormat="false" ht="122.35" hidden="false" customHeight="false" outlineLevel="0" collapsed="false">
      <c r="A7" s="5" t="s">
        <v>39</v>
      </c>
      <c r="B7" s="6" t="s">
        <v>116</v>
      </c>
    </row>
    <row r="8" customFormat="false" ht="135.8" hidden="false" customHeight="false" outlineLevel="0" collapsed="false">
      <c r="A8" s="5" t="s">
        <v>42</v>
      </c>
      <c r="B8" s="6" t="s">
        <v>117</v>
      </c>
    </row>
    <row r="9" customFormat="false" ht="108.95" hidden="false" customHeight="false" outlineLevel="0" collapsed="false">
      <c r="A9" s="5" t="s">
        <v>47</v>
      </c>
      <c r="B9" s="6" t="s">
        <v>118</v>
      </c>
    </row>
    <row r="11" customFormat="false" ht="41.75" hidden="false" customHeight="false" outlineLevel="0" collapsed="false">
      <c r="A11" s="8" t="s">
        <v>54</v>
      </c>
      <c r="B11" s="8" t="s">
        <v>119</v>
      </c>
    </row>
    <row r="12" customFormat="false" ht="15" hidden="false" customHeight="false" outlineLevel="0" collapsed="false">
      <c r="A12" s="7" t="n">
        <v>1</v>
      </c>
      <c r="B12" s="5" t="s">
        <v>120</v>
      </c>
    </row>
    <row r="13" customFormat="false" ht="15" hidden="false" customHeight="false" outlineLevel="0" collapsed="false">
      <c r="A13" s="7" t="n">
        <v>2</v>
      </c>
      <c r="B13" s="5" t="s">
        <v>121</v>
      </c>
    </row>
    <row r="14" customFormat="false" ht="15" hidden="false" customHeight="false" outlineLevel="0" collapsed="false">
      <c r="A14" s="7" t="n">
        <v>3</v>
      </c>
      <c r="B14" s="5" t="s">
        <v>122</v>
      </c>
    </row>
    <row r="15" customFormat="false" ht="15" hidden="false" customHeight="false" outlineLevel="0" collapsed="false">
      <c r="A15" s="7" t="n">
        <v>4</v>
      </c>
      <c r="B15" s="5" t="s">
        <v>123</v>
      </c>
    </row>
    <row r="16" customFormat="false" ht="15" hidden="false" customHeight="false" outlineLevel="0" collapsed="false">
      <c r="A16" s="7" t="n">
        <v>5</v>
      </c>
      <c r="B16" s="5" t="s">
        <v>124</v>
      </c>
    </row>
    <row r="18" customFormat="false" ht="15" hidden="false" customHeight="false" outlineLevel="0" collapsed="false">
      <c r="A18" s="8" t="s">
        <v>125</v>
      </c>
      <c r="B18" s="8" t="s">
        <v>55</v>
      </c>
    </row>
    <row r="19" customFormat="false" ht="15" hidden="false" customHeight="false" outlineLevel="0" collapsed="false">
      <c r="A19" s="5" t="s">
        <v>126</v>
      </c>
      <c r="B19" s="5" t="s">
        <v>74</v>
      </c>
    </row>
    <row r="20" customFormat="false" ht="15" hidden="false" customHeight="false" outlineLevel="0" collapsed="false">
      <c r="A20" s="5" t="s">
        <v>127</v>
      </c>
      <c r="B20" s="5" t="s">
        <v>60</v>
      </c>
    </row>
    <row r="21" customFormat="false" ht="15" hidden="false" customHeight="false" outlineLevel="0" collapsed="false">
      <c r="A21" s="5" t="s">
        <v>128</v>
      </c>
      <c r="B21" s="5" t="s">
        <v>70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39</v>
      </c>
      <c r="B5" s="4" t="s">
        <v>130</v>
      </c>
      <c r="C5" s="4" t="s">
        <v>31</v>
      </c>
      <c r="D5" s="4" t="s">
        <v>131</v>
      </c>
      <c r="E5" s="4" t="s">
        <v>132</v>
      </c>
      <c r="F5" s="4" t="s">
        <v>32</v>
      </c>
      <c r="G5" s="4" t="s">
        <v>133</v>
      </c>
    </row>
    <row r="6" customFormat="false" ht="28.35" hidden="false" customHeight="false" outlineLevel="0" collapsed="false">
      <c r="A6" s="5" t="s">
        <v>134</v>
      </c>
      <c r="B6" s="6" t="s">
        <v>135</v>
      </c>
      <c r="C6" s="5" t="s">
        <v>41</v>
      </c>
      <c r="D6" s="5" t="s">
        <v>136</v>
      </c>
      <c r="E6" s="5" t="s">
        <v>63</v>
      </c>
      <c r="F6" s="5" t="s">
        <v>37</v>
      </c>
      <c r="G6" s="6" t="s">
        <v>137</v>
      </c>
    </row>
    <row r="7" customFormat="false" ht="28.35" hidden="false" customHeight="false" outlineLevel="0" collapsed="false">
      <c r="A7" s="5" t="s">
        <v>73</v>
      </c>
      <c r="B7" s="6" t="s">
        <v>138</v>
      </c>
      <c r="C7" s="5" t="s">
        <v>75</v>
      </c>
      <c r="D7" s="5" t="s">
        <v>139</v>
      </c>
      <c r="E7" s="5" t="s">
        <v>77</v>
      </c>
      <c r="F7" s="5" t="s">
        <v>37</v>
      </c>
      <c r="G7" s="6" t="s">
        <v>140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F6:F205" type="list">
      <formula1>"Open,In Progress,Mitigated,Closed,Accepted"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6" min="4" style="0" width="12"/>
  </cols>
  <sheetData>
    <row r="1" customFormat="false" ht="25.5" hidden="false" customHeight="true" outlineLevel="0" collapsed="false">
      <c r="A1" s="1" t="s">
        <v>141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142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9" t="s">
        <v>143</v>
      </c>
      <c r="B5" s="9" t="s">
        <v>144</v>
      </c>
      <c r="C5" s="9" t="s">
        <v>145</v>
      </c>
      <c r="D5" s="9" t="s">
        <v>146</v>
      </c>
      <c r="E5" s="9" t="s">
        <v>147</v>
      </c>
      <c r="F5" s="9" t="s">
        <v>148</v>
      </c>
    </row>
    <row r="6" customFormat="false" ht="15" hidden="false" customHeight="false" outlineLevel="0" collapsed="false">
      <c r="A6" s="5" t="s">
        <v>149</v>
      </c>
      <c r="B6" s="5" t="n">
        <f aca="false">COUNTIF('02 Scored RAID Register'!A6:A205,"Risk")</f>
        <v>2</v>
      </c>
      <c r="C6" s="5" t="n">
        <f aca="false">COUNTIF('02 Scored RAID Register'!A6:A205,"Issue")</f>
        <v>1</v>
      </c>
      <c r="D6" s="5" t="n">
        <f aca="false">COUNTIF('02 Scored RAID Register'!F6:F205,"Red")</f>
        <v>1</v>
      </c>
      <c r="E6" s="5" t="n">
        <f aca="false">COUNTIF('02 Scored RAID Register'!F6:F205,"Amber")</f>
        <v>2</v>
      </c>
      <c r="F6" s="5" t="n">
        <f aca="false">COUNTIF('02 Scored RAID Register'!F6:F205,"Green")</f>
        <v>7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